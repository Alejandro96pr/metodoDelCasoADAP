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5"/>
    <sheet name="GRUPOS" sheetId="2" r:id="rId6"/>
    <sheet name="Al-Khwarizmi" sheetId="3" r:id="rId7"/>
    <sheet name="Arquimedes" sheetId="4" r:id="rId8"/>
    <sheet name="Descartes" sheetId="5" r:id="rId9"/>
    <sheet name="Euclides" sheetId="6" r:id="rId10"/>
    <sheet name="Euler" sheetId="7" r:id="rId11"/>
    <sheet name="Gauss" sheetId="8" r:id="rId12"/>
    <sheet name="Leibniz" sheetId="9" r:id="rId13"/>
    <sheet name="Pitagoras" sheetId="10" r:id="rId14"/>
    <sheet name="Llull" sheetId="11" r:id="rId15"/>
    <sheet name="PARAMETROS" sheetId="12" r:id="rId16"/>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<sst xmlns="http://schemas.openxmlformats.org/spreadsheetml/2006/main" uniqueCount="87">
  <si>
    <t>Este documento se ha exportado desde Numbers. Cada tabla se ha convertido en una hoja de cálculo de Excel. Los demás objetos de las hojas de Numbers se han colocado en distintas hojas de cálculo. Recuerda que el cálculo de fórmulas puede ser diferente en Excel.</t>
  </si>
  <si>
    <t>Nombre de hoja de Numbers</t>
  </si>
  <si>
    <t>Nombre de tabla de Numbers</t>
  </si>
  <si>
    <t>Nombre de hoja de cálculo de Excel</t>
  </si>
  <si>
    <t>GRUPOS</t>
  </si>
  <si>
    <t>Tabla 1</t>
  </si>
  <si>
    <t>Qué grupo eres</t>
  </si>
  <si>
    <t>&lt;=Por favor, elige tu grupo del desplegable</t>
  </si>
  <si>
    <t>Puntos</t>
  </si>
  <si>
    <t>Grupo</t>
  </si>
  <si>
    <t>&lt;=Por favor, selecciona cada uno de los grupos del deplegable para establecer la ordenación</t>
  </si>
  <si>
    <t>Al-Khwarizmi</t>
  </si>
  <si>
    <t>Quién eres</t>
  </si>
  <si>
    <t>&lt;=Por favor, elige tu nombre del desplegable</t>
  </si>
  <si>
    <t>Miembro</t>
  </si>
  <si>
    <t>Aguilera González, Juan Carlos</t>
  </si>
  <si>
    <t>Nieto Jiménez, Álvaro</t>
  </si>
  <si>
    <t>Sánchez Jiménez, Marcondes</t>
  </si>
  <si>
    <t>Torre Juárez, Francisco de La</t>
  </si>
  <si>
    <t>Verjano Pérez, Esperanza</t>
  </si>
  <si>
    <t>Puntos restantes</t>
  </si>
  <si>
    <t>Arquimedes</t>
  </si>
  <si>
    <t>Bautista Ocaña, Hugo</t>
  </si>
  <si>
    <t>Fernández Gambero, Aquiles</t>
  </si>
  <si>
    <t>Godoy Salazar, José</t>
  </si>
  <si>
    <t>Liebana Valero, Gabriel</t>
  </si>
  <si>
    <t>Plata Ríos, Rubén</t>
  </si>
  <si>
    <t>Rosales Arévalo, Francisco</t>
  </si>
  <si>
    <t>Sánchez Marín, Angel Sergio</t>
  </si>
  <si>
    <t>Descartes</t>
  </si>
  <si>
    <t>Acedo Moreno, Javier</t>
  </si>
  <si>
    <t>Fernández Sanz, Carlos</t>
  </si>
  <si>
    <t>Liu, Rulin</t>
  </si>
  <si>
    <t>Marchante Vento, Benito</t>
  </si>
  <si>
    <t>Merroun, Youssef</t>
  </si>
  <si>
    <t>Reinoso Alvarado, Álvaro</t>
  </si>
  <si>
    <t>Sopranzetti, Macarena</t>
  </si>
  <si>
    <t>Euclides</t>
  </si>
  <si>
    <t>Arranz Avilés, Cristina</t>
  </si>
  <si>
    <t>Bernal Carretero, José</t>
  </si>
  <si>
    <t>Domínguez Torres, José María</t>
  </si>
  <si>
    <t>Gallegos Ramírez, Víctor</t>
  </si>
  <si>
    <t>Lara Prades, Miguel De</t>
  </si>
  <si>
    <t>Troyano Gil, Rocío</t>
  </si>
  <si>
    <t>Euler</t>
  </si>
  <si>
    <t>Ballesteros Cordón, Daniel</t>
  </si>
  <si>
    <t>Cortés Ocaña, Jorge Sebastián</t>
  </si>
  <si>
    <t>Rodríguez Benítez, Cristina</t>
  </si>
  <si>
    <t>Rodríguez Dik, Denis</t>
  </si>
  <si>
    <t>Plaza Ortiz, José</t>
  </si>
  <si>
    <t>Wang, Yipin</t>
  </si>
  <si>
    <t>Gauss</t>
  </si>
  <si>
    <t>Jiménez Mancera, Alejandro</t>
  </si>
  <si>
    <t>Benítez Anaya, Adriana</t>
  </si>
  <si>
    <t>Burbano Klinger, Mateo</t>
  </si>
  <si>
    <t>Delgado Sheperd, Rafael</t>
  </si>
  <si>
    <t>Ruiz Lara, Gonzalo</t>
  </si>
  <si>
    <t>Sepasi, Aryan</t>
  </si>
  <si>
    <t>Subiza Lupiáñez, Eloy</t>
  </si>
  <si>
    <t>Leibniz</t>
  </si>
  <si>
    <t>Duplava, Víctor</t>
  </si>
  <si>
    <t>García Ortiz, Óscar</t>
  </si>
  <si>
    <t>García Rodríguez, Juan Manuel</t>
  </si>
  <si>
    <t>Jiménez Jiménez, Javier Andrés</t>
  </si>
  <si>
    <t>Macías García, Miguel Ángel</t>
  </si>
  <si>
    <t>Pérez Vega, Miguel</t>
  </si>
  <si>
    <t>Puerto Molina, Daniel</t>
  </si>
  <si>
    <t>Pitagoras</t>
  </si>
  <si>
    <t>Martín Andújar, Loretta</t>
  </si>
  <si>
    <t>Mustafa, Robert Marian</t>
  </si>
  <si>
    <t>Rodríguez Marcos, Adiel</t>
  </si>
  <si>
    <t>Rodríguez Pérez, Sandra</t>
  </si>
  <si>
    <t>Romero López, Telesforo</t>
  </si>
  <si>
    <t>Ruiz Navas, Sergio</t>
  </si>
  <si>
    <t>Trujillo Sánchez-mateos, Hugo</t>
  </si>
  <si>
    <t>Llull</t>
  </si>
  <si>
    <t>Al Haidar El Boudrai, Yousef</t>
  </si>
  <si>
    <t>Guerrero Mejía, Irene</t>
  </si>
  <si>
    <t>Martínez Saborido, Javier</t>
  </si>
  <si>
    <t>Mérida-nicolich Maldonado, Gonzalo</t>
  </si>
  <si>
    <t>Pérez-piaya Ayoso, Miguel</t>
  </si>
  <si>
    <t>Rodríguez González, Néstor</t>
  </si>
  <si>
    <t>Rodríguez Martínez, Adrián</t>
  </si>
  <si>
    <t>PARAMETROS</t>
  </si>
  <si>
    <t>Grupos</t>
  </si>
  <si>
    <t>No seleccionados</t>
  </si>
  <si>
    <t>Integrantes</t>
  </si>
</sst>
</file>

<file path=xl/styles.xml><?xml version="1.0" encoding="utf-8"?>
<styleSheet xmlns="http://schemas.openxmlformats.org/spreadsheetml/2006/main">
  <numFmts count="1">
    <numFmt numFmtId="0" formatCode="General"/>
  </numFmts>
  <fonts count="1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1"/>
      <color indexed="13"/>
      <name val="Calibri"/>
    </font>
    <font>
      <b val="1"/>
      <sz val="11"/>
      <color indexed="15"/>
      <name val="Calibri"/>
    </font>
    <font>
      <b val="1"/>
      <sz val="16"/>
      <color indexed="8"/>
      <name val="Calibri"/>
    </font>
    <font>
      <b val="1"/>
      <sz val="26"/>
      <color indexed="8"/>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6"/>
        <bgColor auto="1"/>
      </patternFill>
    </fill>
  </fills>
  <borders count="8">
    <border>
      <left/>
      <right/>
      <top/>
      <bottom/>
      <diagonal/>
    </border>
    <border>
      <left style="thin">
        <color indexed="12"/>
      </left>
      <right/>
      <top style="thin">
        <color indexed="12"/>
      </top>
      <bottom style="thin">
        <color indexed="12"/>
      </bottom>
      <diagonal/>
    </border>
    <border>
      <left/>
      <right/>
      <top style="thin">
        <color indexed="12"/>
      </top>
      <bottom/>
      <diagonal/>
    </border>
    <border>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
      <left style="thin">
        <color indexed="12"/>
      </left>
      <right style="thin">
        <color indexed="12"/>
      </right>
      <top style="thin">
        <color indexed="12"/>
      </top>
      <bottom/>
      <diagonal/>
    </border>
    <border>
      <left/>
      <right/>
      <top/>
      <bottom/>
      <diagonal/>
    </border>
  </borders>
  <cellStyleXfs count="1">
    <xf numFmtId="0" fontId="0" applyNumberFormat="0" applyFont="1" applyFill="0" applyBorder="0" applyAlignment="1" applyProtection="0">
      <alignment vertical="bottom"/>
    </xf>
  </cellStyleXfs>
  <cellXfs count="4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6" fillId="4" borderId="2" applyNumberFormat="0" applyFont="1" applyFill="1" applyBorder="1" applyAlignment="1" applyProtection="0">
      <alignment vertical="bottom"/>
    </xf>
    <xf numFmtId="49" fontId="7" borderId="3"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8" borderId="4" applyNumberFormat="1" applyFont="1" applyFill="0" applyBorder="1" applyAlignment="1" applyProtection="0">
      <alignment vertical="bottom"/>
    </xf>
    <xf numFmtId="49" fontId="8" borderId="6" applyNumberFormat="1" applyFont="1" applyFill="0" applyBorder="1" applyAlignment="1" applyProtection="0">
      <alignment vertical="bottom"/>
    </xf>
    <xf numFmtId="0" fontId="0" borderId="1" applyNumberFormat="1" applyFont="1" applyFill="0" applyBorder="1" applyAlignment="1" applyProtection="0">
      <alignment horizontal="center" vertical="bottom"/>
    </xf>
    <xf numFmtId="0" fontId="6" fillId="4" borderId="7" applyNumberFormat="0" applyFont="1" applyFill="1" applyBorder="1" applyAlignment="1" applyProtection="0">
      <alignment vertical="bottom"/>
    </xf>
    <xf numFmtId="0" fontId="0" borderId="3" applyNumberFormat="0" applyFont="1" applyFill="0" applyBorder="1" applyAlignment="1" applyProtection="0">
      <alignment vertical="bottom"/>
    </xf>
    <xf numFmtId="0" fontId="6" borderId="5" applyNumberFormat="0" applyFont="1" applyFill="0" applyBorder="1" applyAlignment="1" applyProtection="0">
      <alignment vertical="bottom"/>
    </xf>
    <xf numFmtId="0" fontId="0" applyNumberFormat="1" applyFont="1" applyFill="0" applyBorder="0" applyAlignment="1" applyProtection="0">
      <alignment vertical="bottom"/>
    </xf>
    <xf numFmtId="49" fontId="8" borderId="1" applyNumberFormat="1" applyFont="1" applyFill="0" applyBorder="1" applyAlignment="1" applyProtection="0">
      <alignment vertical="bottom"/>
    </xf>
    <xf numFmtId="49" fontId="8" borderId="4" applyNumberFormat="1" applyFont="1" applyFill="0" applyBorder="1" applyAlignment="1" applyProtection="0">
      <alignment horizontal="center" vertical="bottom"/>
    </xf>
    <xf numFmtId="49" fontId="8" borderId="6" applyNumberFormat="1" applyFont="1" applyFill="0" applyBorder="1" applyAlignment="1" applyProtection="0">
      <alignment horizontal="center" vertical="bottom"/>
    </xf>
    <xf numFmtId="0" fontId="0" borderId="1" applyNumberFormat="0" applyFont="1" applyFill="0" applyBorder="1" applyAlignment="1" applyProtection="0">
      <alignment vertical="bottom"/>
    </xf>
    <xf numFmtId="0" fontId="6" fillId="4" borderId="7" applyNumberFormat="1" applyFont="1" applyFill="1" applyBorder="1" applyAlignment="1" applyProtection="0">
      <alignment vertical="bottom"/>
    </xf>
    <xf numFmtId="49" fontId="8" borderId="4" applyNumberFormat="1" applyFont="1" applyFill="0" applyBorder="1" applyAlignment="1" applyProtection="0">
      <alignment horizontal="right" vertical="bottom"/>
    </xf>
    <xf numFmtId="0" fontId="0" borderId="5"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6" fillId="4" borderId="2" applyNumberFormat="1" applyFont="1" applyFill="1" applyBorder="1" applyAlignment="1" applyProtection="0">
      <alignment vertical="bottom"/>
    </xf>
    <xf numFmtId="0"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9" borderId="4" applyNumberFormat="1" applyFont="1" applyFill="0" applyBorder="1" applyAlignment="1" applyProtection="0">
      <alignment vertical="bottom"/>
    </xf>
    <xf numFmtId="49" fontId="0" fillId="5" borderId="4" applyNumberFormat="1" applyFont="1" applyFill="1" applyBorder="1" applyAlignment="1" applyProtection="0">
      <alignment vertical="bottom"/>
    </xf>
    <xf numFmtId="49" fontId="0" borderId="4" applyNumberFormat="1" applyFont="1" applyFill="0" applyBorder="1" applyAlignment="1" applyProtection="0">
      <alignment vertical="bottom"/>
    </xf>
    <xf numFmtId="0" fontId="0" fillId="5" borderId="4" applyNumberFormat="1" applyFont="1" applyFill="1" applyBorder="1" applyAlignment="1" applyProtection="0">
      <alignment vertical="bottom"/>
    </xf>
    <xf numFmtId="0" fontId="0" borderId="4" applyNumberFormat="1" applyFont="1" applyFill="0" applyBorder="1" applyAlignment="1" applyProtection="0">
      <alignment horizontal="center" vertical="bottom"/>
    </xf>
    <xf numFmtId="0" fontId="0" fillId="5" borderId="4" applyNumberFormat="0" applyFont="1" applyFill="1" applyBorder="1" applyAlignment="1" applyProtection="0">
      <alignment vertical="bottom"/>
    </xf>
    <xf numFmtId="0" fontId="0" borderId="4" applyNumberFormat="0" applyFont="1" applyFill="0" applyBorder="1" applyAlignment="1" applyProtection="0">
      <alignment horizontal="center" vertical="bottom"/>
    </xf>
    <xf numFmtId="49" fontId="0" fillId="5" borderId="4" applyNumberFormat="1" applyFont="1" applyFill="1" applyBorder="1" applyAlignment="1" applyProtection="0">
      <alignment vertical="bottom" wrapText="1"/>
    </xf>
    <xf numFmtId="0" fontId="0" fillId="5" borderId="4" applyNumberFormat="0" applyFont="1" applyFill="1" applyBorder="1" applyAlignment="1" applyProtection="0">
      <alignment vertical="bottom" wrapText="1"/>
    </xf>
    <xf numFmtId="0" fontId="9" borderId="4"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006100"/>
      <rgbColor rgb="ffc6efce"/>
      <rgbColor rgb="ff00b050"/>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s>

</file>

<file path=xl/theme/theme1.xml><?xml version="1.0" encoding="utf-8"?>
<a:theme xmlns:a="http://schemas.openxmlformats.org/drawingml/2006/main" xmlns:r="http://schemas.openxmlformats.org/officeDocument/2006/relationships" name="Tema de Office">
  <a:themeElements>
    <a:clrScheme name="Tema de 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Tema de Office">
      <a:majorFont>
        <a:latin typeface="Helvetica Neue"/>
        <a:ea typeface="Helvetica Neue"/>
        <a:cs typeface="Helvetica Neue"/>
      </a:majorFont>
      <a:minorFont>
        <a:latin typeface="Helvetica Neue"/>
        <a:ea typeface="Helvetica Neue"/>
        <a:cs typeface="Helvetica Neue"/>
      </a:minorFont>
    </a:fontScheme>
    <a:fmtScheme name="Tema d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11</v>
      </c>
      <c r="C11" s="3"/>
      <c r="D11" s="3"/>
    </row>
    <row r="12">
      <c r="B12" s="4"/>
      <c r="C12" t="s" s="4">
        <v>5</v>
      </c>
      <c r="D12" t="s" s="5">
        <v>11</v>
      </c>
    </row>
    <row r="13">
      <c r="B13" t="s" s="3">
        <v>21</v>
      </c>
      <c r="C13" s="3"/>
      <c r="D13" s="3"/>
    </row>
    <row r="14">
      <c r="B14" s="4"/>
      <c r="C14" t="s" s="4">
        <v>5</v>
      </c>
      <c r="D14" t="s" s="5">
        <v>21</v>
      </c>
    </row>
    <row r="15">
      <c r="B15" t="s" s="3">
        <v>29</v>
      </c>
      <c r="C15" s="3"/>
      <c r="D15" s="3"/>
    </row>
    <row r="16">
      <c r="B16" s="4"/>
      <c r="C16" t="s" s="4">
        <v>5</v>
      </c>
      <c r="D16" t="s" s="5">
        <v>29</v>
      </c>
    </row>
    <row r="17">
      <c r="B17" t="s" s="3">
        <v>37</v>
      </c>
      <c r="C17" s="3"/>
      <c r="D17" s="3"/>
    </row>
    <row r="18">
      <c r="B18" s="4"/>
      <c r="C18" t="s" s="4">
        <v>5</v>
      </c>
      <c r="D18" t="s" s="5">
        <v>37</v>
      </c>
    </row>
    <row r="19">
      <c r="B19" t="s" s="3">
        <v>44</v>
      </c>
      <c r="C19" s="3"/>
      <c r="D19" s="3"/>
    </row>
    <row r="20">
      <c r="B20" s="4"/>
      <c r="C20" t="s" s="4">
        <v>5</v>
      </c>
      <c r="D20" t="s" s="5">
        <v>44</v>
      </c>
    </row>
    <row r="21">
      <c r="B21" t="s" s="3">
        <v>51</v>
      </c>
      <c r="C21" s="3"/>
      <c r="D21" s="3"/>
    </row>
    <row r="22">
      <c r="B22" s="4"/>
      <c r="C22" t="s" s="4">
        <v>5</v>
      </c>
      <c r="D22" t="s" s="5">
        <v>51</v>
      </c>
    </row>
    <row r="23">
      <c r="B23" t="s" s="3">
        <v>59</v>
      </c>
      <c r="C23" s="3"/>
      <c r="D23" s="3"/>
    </row>
    <row r="24">
      <c r="B24" s="4"/>
      <c r="C24" t="s" s="4">
        <v>5</v>
      </c>
      <c r="D24" t="s" s="5">
        <v>59</v>
      </c>
    </row>
    <row r="25">
      <c r="B25" t="s" s="3">
        <v>67</v>
      </c>
      <c r="C25" s="3"/>
      <c r="D25" s="3"/>
    </row>
    <row r="26">
      <c r="B26" s="4"/>
      <c r="C26" t="s" s="4">
        <v>5</v>
      </c>
      <c r="D26" t="s" s="5">
        <v>67</v>
      </c>
    </row>
    <row r="27">
      <c r="B27" t="s" s="3">
        <v>75</v>
      </c>
      <c r="C27" s="3"/>
      <c r="D27" s="3"/>
    </row>
    <row r="28">
      <c r="B28" s="4"/>
      <c r="C28" t="s" s="4">
        <v>5</v>
      </c>
      <c r="D28" t="s" s="5">
        <v>75</v>
      </c>
    </row>
    <row r="29">
      <c r="B29" t="s" s="3">
        <v>83</v>
      </c>
      <c r="C29" s="3"/>
      <c r="D29" s="3"/>
    </row>
    <row r="30">
      <c r="B30" s="4"/>
      <c r="C30" t="s" s="4">
        <v>5</v>
      </c>
      <c r="D30" t="s" s="5">
        <v>83</v>
      </c>
    </row>
  </sheetData>
  <mergeCells count="1">
    <mergeCell ref="B3:D3"/>
  </mergeCells>
  <hyperlinks>
    <hyperlink ref="D10" location="'GRUPOS'!R1C1" tooltip="" display="GRUPOS"/>
    <hyperlink ref="D12" location="'Al-Khwarizmi'!R1C1" tooltip="" display="Al-Khwarizmi"/>
    <hyperlink ref="D14" location="'Arquimedes'!R1C1" tooltip="" display="Arquimedes"/>
    <hyperlink ref="D16" location="'Descartes'!R1C1" tooltip="" display="Descartes"/>
    <hyperlink ref="D18" location="'Euclides'!R1C1" tooltip="" display="Euclides"/>
    <hyperlink ref="D20" location="'Euler'!R1C1" tooltip="" display="Euler"/>
    <hyperlink ref="D22" location="'Gauss'!R1C1" tooltip="" display="Gauss"/>
    <hyperlink ref="D24" location="'Leibniz'!R1C1" tooltip="" display="Leibniz"/>
    <hyperlink ref="D26" location="'Pitagoras'!R1C1" tooltip="" display="Pitagoras"/>
    <hyperlink ref="D28" location="'Llull'!R1C1" tooltip="" display="Llull"/>
    <hyperlink ref="D30" location="'PARAMETROS'!R1C1" tooltip="" display="PARAMETROS"/>
  </hyperlinks>
</worksheet>
</file>

<file path=xl/worksheets/sheet2.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10.6667" defaultRowHeight="15" customHeight="1" outlineLevelRow="0" outlineLevelCol="0"/>
  <cols>
    <col min="1" max="1" width="14.5" style="6" customWidth="1"/>
    <col min="2" max="2" width="24.1719" style="6" customWidth="1"/>
    <col min="3" max="3" width="83.3516" style="6" customWidth="1"/>
    <col min="4" max="5" width="10.6719" style="6" customWidth="1"/>
    <col min="6" max="16384" width="10.6719" style="6" customWidth="1"/>
  </cols>
  <sheetData>
    <row r="1" ht="13.55" customHeight="1">
      <c r="A1" t="s" s="7">
        <v>6</v>
      </c>
      <c r="B1" s="8"/>
      <c r="C1" t="s" s="9">
        <v>7</v>
      </c>
      <c r="D1" s="10"/>
      <c r="E1" s="10"/>
    </row>
    <row r="2" ht="13.55" customHeight="1">
      <c r="A2" s="10"/>
      <c r="B2" s="11"/>
      <c r="C2" s="10"/>
      <c r="D2" s="10"/>
      <c r="E2" s="10"/>
    </row>
    <row r="3" ht="21" customHeight="1">
      <c r="A3" t="s" s="12">
        <v>8</v>
      </c>
      <c r="B3" t="s" s="13">
        <v>9</v>
      </c>
      <c r="C3" s="10"/>
      <c r="D3" s="10"/>
      <c r="E3" s="10"/>
    </row>
    <row r="4" ht="13.55" customHeight="1">
      <c r="A4" s="14">
        <v>1</v>
      </c>
      <c r="B4" s="15"/>
      <c r="C4" t="s" s="9">
        <v>10</v>
      </c>
      <c r="D4" s="10"/>
      <c r="E4" s="10"/>
    </row>
    <row r="5" ht="13.55" customHeight="1">
      <c r="A5" s="14">
        <v>2</v>
      </c>
      <c r="B5" s="15"/>
      <c r="C5" s="16"/>
      <c r="D5" s="10"/>
      <c r="E5" s="10"/>
    </row>
    <row r="6" ht="13.55" customHeight="1">
      <c r="A6" s="14">
        <v>3</v>
      </c>
      <c r="B6" s="15"/>
      <c r="C6" s="16"/>
      <c r="D6" s="10"/>
      <c r="E6" s="10"/>
    </row>
    <row r="7" ht="13.55" customHeight="1">
      <c r="A7" s="14">
        <v>4</v>
      </c>
      <c r="B7" s="15"/>
      <c r="C7" s="16"/>
      <c r="D7" s="10"/>
      <c r="E7" s="10"/>
    </row>
    <row r="8" ht="13.55" customHeight="1">
      <c r="A8" s="14">
        <v>5</v>
      </c>
      <c r="B8" s="15"/>
      <c r="C8" s="16"/>
      <c r="D8" s="10"/>
      <c r="E8" s="10"/>
    </row>
    <row r="9" ht="13.55" customHeight="1">
      <c r="A9" s="14">
        <v>6</v>
      </c>
      <c r="B9" s="15"/>
      <c r="C9" s="16"/>
      <c r="D9" s="10"/>
      <c r="E9" s="10"/>
    </row>
    <row r="10" ht="13.55" customHeight="1">
      <c r="A10" s="14">
        <v>7</v>
      </c>
      <c r="B10" s="15"/>
      <c r="C10" s="16"/>
      <c r="D10" s="10"/>
      <c r="E10" s="10"/>
    </row>
    <row r="11" ht="13.55" customHeight="1">
      <c r="A11" s="14">
        <v>8</v>
      </c>
      <c r="B11" s="15"/>
      <c r="C11" s="16"/>
      <c r="D11" s="10"/>
      <c r="E11" s="10"/>
    </row>
    <row r="12" ht="13.55" customHeight="1">
      <c r="A12" s="10"/>
      <c r="B12" s="17"/>
      <c r="C12" s="10"/>
      <c r="D12" s="10"/>
      <c r="E12" s="10"/>
    </row>
  </sheetData>
  <dataValidations count="1">
    <dataValidation type="list" allowBlank="1" showInputMessage="1" showErrorMessage="1" sqref="B1 B4:B12">
      <formula1>"Al-Khwarizmi,Arquimedes,Descartes,Euclides,Euler,Gauss,Leibniz,Pitagoras,Llull"</formula1>
    </dataValidation>
  </dataValidation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10.6667" defaultRowHeight="15" customHeight="1" outlineLevelRow="0" outlineLevelCol="0"/>
  <cols>
    <col min="1" max="1" width="31.3516" style="18" customWidth="1"/>
    <col min="2" max="2" width="34.3516" style="18" customWidth="1"/>
    <col min="3" max="3" width="41.3516" style="18" customWidth="1"/>
    <col min="4" max="5" width="10.6719" style="18" customWidth="1"/>
    <col min="6" max="16384" width="10.6719" style="18" customWidth="1"/>
  </cols>
  <sheetData>
    <row r="1" ht="21" customHeight="1">
      <c r="A1" t="s" s="19">
        <v>12</v>
      </c>
      <c r="B1" s="8"/>
      <c r="C1" t="s" s="9">
        <v>13</v>
      </c>
      <c r="D1" s="10"/>
      <c r="E1" s="10"/>
    </row>
    <row r="2" ht="13.55" customHeight="1">
      <c r="A2" s="10"/>
      <c r="B2" s="11"/>
      <c r="C2" s="10"/>
      <c r="D2" s="10"/>
      <c r="E2" s="10"/>
    </row>
    <row r="3" ht="21" customHeight="1">
      <c r="A3" t="s" s="20">
        <v>14</v>
      </c>
      <c r="B3" t="s" s="21">
        <v>8</v>
      </c>
      <c r="C3" s="10"/>
      <c r="D3" s="10"/>
      <c r="E3" s="10"/>
    </row>
    <row r="4" ht="13.55" customHeight="1">
      <c r="A4" t="str" s="22" cm="1">
        <f t="array" ref="A4">IF('PARAMETROS'!A15=$B$1,"",'PARAMETROS'!A15)</f>
        <v>Aguilera González, Juan Carlos</v>
      </c>
      <c r="B4" s="23">
        <v>0</v>
      </c>
      <c r="C4" s="16"/>
      <c r="D4" s="10"/>
      <c r="E4" s="10"/>
    </row>
    <row r="5" ht="13.55" customHeight="1">
      <c r="A5" t="str" s="22" cm="1">
        <f t="array" ref="A5">IF('PARAMETROS'!A16=$B$1,"",'PARAMETROS'!A16)</f>
        <v>Nieto Jiménez, Álvaro</v>
      </c>
      <c r="B5" s="23">
        <v>0</v>
      </c>
      <c r="C5" s="16"/>
      <c r="D5" s="10"/>
      <c r="E5" s="10"/>
    </row>
    <row r="6" ht="13.55" customHeight="1">
      <c r="A6" t="str" s="22" cm="1">
        <f t="array" ref="A6">IF('PARAMETROS'!A17=$B$1,"",'PARAMETROS'!A17)</f>
        <v>Sánchez Jiménez, Marcondes</v>
      </c>
      <c r="B6" s="23">
        <v>0</v>
      </c>
      <c r="C6" s="16"/>
      <c r="D6" s="10"/>
      <c r="E6" s="10"/>
    </row>
    <row r="7" ht="13.55" customHeight="1">
      <c r="A7" t="str" s="22" cm="1">
        <f t="array" ref="A7">IF('PARAMETROS'!A18=$B$1,"",'PARAMETROS'!A18)</f>
        <v>Torre Juárez, Francisco de La</v>
      </c>
      <c r="B7" s="23">
        <v>0</v>
      </c>
      <c r="C7" s="16"/>
      <c r="D7" s="10"/>
      <c r="E7" s="10"/>
    </row>
    <row r="8" ht="13.55" customHeight="1">
      <c r="A8" t="str" s="22" cm="1">
        <f t="array" ref="A8">IF('PARAMETROS'!A19=$B$1,"",'PARAMETROS'!A19)</f>
        <v>Verjano Pérez, Esperanza</v>
      </c>
      <c r="B8" s="23">
        <v>0</v>
      </c>
      <c r="C8" s="16"/>
      <c r="D8" s="10"/>
      <c r="E8" s="10"/>
    </row>
    <row r="9" ht="13.55" customHeight="1">
      <c r="A9" t="str" s="22" cm="1">
        <f t="array" ref="A9">IF('PARAMETROS'!A20=$B$1,"",'PARAMETROS'!A20)</f>
      </c>
      <c r="B9" s="23">
        <v>0</v>
      </c>
      <c r="C9" s="16"/>
      <c r="D9" s="10"/>
      <c r="E9" s="10"/>
    </row>
    <row r="10" ht="13.55" customHeight="1">
      <c r="A10" t="str" s="22" cm="1">
        <f t="array" ref="A10">IF('PARAMETROS'!A21=$B$1,"",'PARAMETROS'!A21)</f>
      </c>
      <c r="B10" s="23">
        <v>0</v>
      </c>
      <c r="C10" s="16"/>
      <c r="D10" s="10"/>
      <c r="E10" s="10"/>
    </row>
    <row r="11" ht="13.55" customHeight="1">
      <c r="A11" t="str" s="22" cm="1">
        <f t="array" ref="A11">IF('PARAMETROS'!A22=$B$1,"",'PARAMETROS'!A22)</f>
      </c>
      <c r="B11" s="23">
        <v>0</v>
      </c>
      <c r="C11" s="16"/>
      <c r="D11" s="10"/>
      <c r="E11" s="10"/>
    </row>
    <row r="12" ht="13.55" customHeight="1">
      <c r="A12" t="str" s="22" cm="1">
        <f t="array" ref="A12">IF('PARAMETROS'!A23=$B$1,"",'PARAMETROS'!A23)</f>
      </c>
      <c r="B12" s="23">
        <v>0</v>
      </c>
      <c r="C12" s="16"/>
      <c r="D12" s="10"/>
      <c r="E12" s="10"/>
    </row>
    <row r="13" ht="13.55" customHeight="1">
      <c r="A13" t="str" s="22" cm="1">
        <f t="array" ref="A13">IF('PARAMETROS'!A24=$B$1,"",'PARAMETROS'!A24)</f>
      </c>
      <c r="B13" s="23">
        <v>0</v>
      </c>
      <c r="C13" s="16"/>
      <c r="D13" s="10"/>
      <c r="E13" s="10"/>
    </row>
    <row r="14" ht="13.55" customHeight="1">
      <c r="A14" t="str" s="22" cm="1">
        <f t="array" ref="A14">IF('PARAMETROS'!A25=$B$1,"",'PARAMETROS'!A25)</f>
      </c>
      <c r="B14" s="23">
        <v>0</v>
      </c>
      <c r="C14" s="16"/>
      <c r="D14" s="10"/>
      <c r="E14" s="10"/>
    </row>
    <row r="15" ht="13.55" customHeight="1">
      <c r="A15" t="str" s="22" cm="1">
        <f t="array" ref="A15">IF('PARAMETROS'!A26=$B$1,"",'PARAMETROS'!A26)</f>
      </c>
      <c r="B15" s="23">
        <v>0</v>
      </c>
      <c r="C15" s="16"/>
      <c r="D15" s="10"/>
      <c r="E15" s="10"/>
    </row>
    <row r="16" ht="21" customHeight="1">
      <c r="A16" t="s" s="24">
        <v>20</v>
      </c>
      <c r="B16" s="25" cm="1">
        <f t="array" ref="B16">'PARAMETROS'!$D$2-SUM(B4:B15)</f>
        <v>25</v>
      </c>
      <c r="C16" s="10"/>
      <c r="D16" s="10"/>
      <c r="E16" s="10"/>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10.6667" defaultRowHeight="15" customHeight="1" outlineLevelRow="0" outlineLevelCol="0"/>
  <cols>
    <col min="1" max="1" width="36.3516" style="26" customWidth="1"/>
    <col min="2" max="2" width="34.3516" style="26" customWidth="1"/>
    <col min="3" max="3" width="41.6719" style="26" customWidth="1"/>
    <col min="4" max="5" width="10.6719" style="26" customWidth="1"/>
    <col min="6" max="16384" width="10.6719" style="26" customWidth="1"/>
  </cols>
  <sheetData>
    <row r="1" ht="21" customHeight="1">
      <c r="A1" t="s" s="19">
        <v>12</v>
      </c>
      <c r="B1" s="8"/>
      <c r="C1" t="s" s="9">
        <v>13</v>
      </c>
      <c r="D1" s="10"/>
      <c r="E1" s="10"/>
    </row>
    <row r="2" ht="13.55" customHeight="1">
      <c r="A2" s="10"/>
      <c r="B2" s="11"/>
      <c r="C2" s="10"/>
      <c r="D2" s="10"/>
      <c r="E2" s="10"/>
    </row>
    <row r="3" ht="21" customHeight="1">
      <c r="A3" t="s" s="20">
        <v>14</v>
      </c>
      <c r="B3" t="s" s="21">
        <v>8</v>
      </c>
      <c r="C3" s="10"/>
      <c r="D3" s="10"/>
      <c r="E3" s="10"/>
    </row>
    <row r="4" ht="13.55" customHeight="1">
      <c r="A4" t="str" s="22" cm="1">
        <f t="array" ref="A4">IF('PARAMETROS'!A29=$B$1,"",'PARAMETROS'!A29)</f>
        <v>Bautista Ocaña, Hugo</v>
      </c>
      <c r="B4" s="23">
        <v>0</v>
      </c>
      <c r="C4" s="16"/>
      <c r="D4" s="10"/>
      <c r="E4" s="10"/>
    </row>
    <row r="5" ht="13.55" customHeight="1">
      <c r="A5" t="str" s="22" cm="1">
        <f t="array" ref="A5">IF('PARAMETROS'!A30=$B$1,"",'PARAMETROS'!A30)</f>
        <v>Fernández Gambero, Aquiles</v>
      </c>
      <c r="B5" s="23">
        <v>0</v>
      </c>
      <c r="C5" s="16"/>
      <c r="D5" s="10"/>
      <c r="E5" s="10"/>
    </row>
    <row r="6" ht="13.55" customHeight="1">
      <c r="A6" t="str" s="22" cm="1">
        <f t="array" ref="A6">IF('PARAMETROS'!A31=$B$1,"",'PARAMETROS'!A31)</f>
        <v>Godoy Salazar, José</v>
      </c>
      <c r="B6" s="23">
        <v>0</v>
      </c>
      <c r="C6" s="16"/>
      <c r="D6" s="10"/>
      <c r="E6" s="10"/>
    </row>
    <row r="7" ht="13.55" customHeight="1">
      <c r="A7" t="str" s="22" cm="1">
        <f t="array" ref="A7">IF('PARAMETROS'!A32=$B$1,"",'PARAMETROS'!A32)</f>
        <v>Liebana Valero, Gabriel</v>
      </c>
      <c r="B7" s="23">
        <v>0</v>
      </c>
      <c r="C7" s="16"/>
      <c r="D7" s="10"/>
      <c r="E7" s="10"/>
    </row>
    <row r="8" ht="13.55" customHeight="1">
      <c r="A8" t="str" s="22" cm="1">
        <f t="array" ref="A8">IF('PARAMETROS'!A33=$B$1,"",'PARAMETROS'!A33)</f>
        <v>Plata Ríos, Rubén</v>
      </c>
      <c r="B8" s="23">
        <v>0</v>
      </c>
      <c r="C8" s="16"/>
      <c r="D8" s="10"/>
      <c r="E8" s="10"/>
    </row>
    <row r="9" ht="13.55" customHeight="1">
      <c r="A9" t="str" s="22" cm="1">
        <f t="array" ref="A9">IF('PARAMETROS'!A34=$B$1,"",'PARAMETROS'!A34)</f>
        <v>Rosales Arévalo, Francisco</v>
      </c>
      <c r="B9" s="23">
        <v>0</v>
      </c>
      <c r="C9" s="16"/>
      <c r="D9" s="10"/>
      <c r="E9" s="10"/>
    </row>
    <row r="10" ht="13.55" customHeight="1">
      <c r="A10" t="str" s="22" cm="1">
        <f t="array" ref="A10">IF('PARAMETROS'!A35=$B$1,"",'PARAMETROS'!A35)</f>
        <v>Sánchez Marín, Angel Sergio</v>
      </c>
      <c r="B10" s="23">
        <v>0</v>
      </c>
      <c r="C10" s="16"/>
      <c r="D10" s="10"/>
      <c r="E10" s="10"/>
    </row>
    <row r="11" ht="13.55" customHeight="1">
      <c r="A11" t="str" s="22" cm="1">
        <f t="array" ref="A11">IF('PARAMETROS'!A36=$B$1,"",'PARAMETROS'!A36)</f>
      </c>
      <c r="B11" s="23">
        <v>0</v>
      </c>
      <c r="C11" s="16"/>
      <c r="D11" s="10"/>
      <c r="E11" s="10"/>
    </row>
    <row r="12" ht="13.55" customHeight="1">
      <c r="A12" t="str" s="22" cm="1">
        <f t="array" ref="A12">IF('PARAMETROS'!A37=$B$1,"",'PARAMETROS'!A37)</f>
      </c>
      <c r="B12" s="23">
        <v>0</v>
      </c>
      <c r="C12" s="16"/>
      <c r="D12" s="10"/>
      <c r="E12" s="10"/>
    </row>
    <row r="13" ht="13.55" customHeight="1">
      <c r="A13" t="str" s="22" cm="1">
        <f t="array" ref="A13">IF('PARAMETROS'!A38=$B$1,"",'PARAMETROS'!A38)</f>
      </c>
      <c r="B13" s="23">
        <v>0</v>
      </c>
      <c r="C13" s="16"/>
      <c r="D13" s="10"/>
      <c r="E13" s="10"/>
    </row>
    <row r="14" ht="13.55" customHeight="1">
      <c r="A14" t="str" s="22" cm="1">
        <f t="array" ref="A14">IF('PARAMETROS'!A39=$B$1,"",'PARAMETROS'!A39)</f>
      </c>
      <c r="B14" s="23">
        <v>0</v>
      </c>
      <c r="C14" s="16"/>
      <c r="D14" s="10"/>
      <c r="E14" s="10"/>
    </row>
    <row r="15" ht="13.55" customHeight="1">
      <c r="A15" t="str" s="22" cm="1">
        <f t="array" ref="A15">IF('PARAMETROS'!A40=$B$1,"",'PARAMETROS'!A40)</f>
      </c>
      <c r="B15" s="23">
        <v>0</v>
      </c>
      <c r="C15" s="16"/>
      <c r="D15" s="10"/>
      <c r="E15" s="10"/>
    </row>
    <row r="16" ht="21" customHeight="1">
      <c r="A16" t="s" s="24">
        <v>20</v>
      </c>
      <c r="B16" s="25" cm="1">
        <f t="array" ref="B16">'PARAMETROS'!$D$3-SUM(B4:B15)</f>
        <v>35</v>
      </c>
      <c r="C16" s="10"/>
      <c r="D16" s="10"/>
      <c r="E16" s="10"/>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10.6667" defaultRowHeight="15" customHeight="1" outlineLevelRow="0" outlineLevelCol="0"/>
  <cols>
    <col min="1" max="1" width="35.5" style="27" customWidth="1"/>
    <col min="2" max="2" width="34.3516" style="27" customWidth="1"/>
    <col min="3" max="3" width="41.5" style="27" customWidth="1"/>
    <col min="4" max="5" width="10.6719" style="27" customWidth="1"/>
    <col min="6" max="16384" width="10.6719" style="27" customWidth="1"/>
  </cols>
  <sheetData>
    <row r="1" ht="21" customHeight="1">
      <c r="A1" t="s" s="19">
        <v>12</v>
      </c>
      <c r="B1" s="8"/>
      <c r="C1" t="s" s="9">
        <v>13</v>
      </c>
      <c r="D1" s="10"/>
      <c r="E1" s="10"/>
    </row>
    <row r="2" ht="13.55" customHeight="1">
      <c r="A2" s="10"/>
      <c r="B2" s="11"/>
      <c r="C2" s="10"/>
      <c r="D2" s="10"/>
      <c r="E2" s="10"/>
    </row>
    <row r="3" ht="21" customHeight="1">
      <c r="A3" t="s" s="20">
        <v>14</v>
      </c>
      <c r="B3" t="s" s="21">
        <v>8</v>
      </c>
      <c r="C3" s="10"/>
      <c r="D3" s="10"/>
      <c r="E3" s="10"/>
    </row>
    <row r="4" ht="13.55" customHeight="1">
      <c r="A4" t="str" s="22" cm="1">
        <f t="array" ref="A4">IF('PARAMETROS'!A43=$B$1,"",'PARAMETROS'!A43)</f>
        <v>Acedo Moreno, Javier</v>
      </c>
      <c r="B4" s="23">
        <v>0</v>
      </c>
      <c r="C4" s="16"/>
      <c r="D4" s="10"/>
      <c r="E4" s="10"/>
    </row>
    <row r="5" ht="13.55" customHeight="1">
      <c r="A5" t="str" s="22" cm="1">
        <f t="array" ref="A5">IF('PARAMETROS'!A44=$B$1,"",'PARAMETROS'!A44)</f>
        <v>Fernández Sanz, Carlos</v>
      </c>
      <c r="B5" s="23">
        <v>0</v>
      </c>
      <c r="C5" s="16"/>
      <c r="D5" s="10"/>
      <c r="E5" s="10"/>
    </row>
    <row r="6" ht="13.55" customHeight="1">
      <c r="A6" t="str" s="22" cm="1">
        <f t="array" ref="A6">IF('PARAMETROS'!A45=$B$1,"",'PARAMETROS'!A45)</f>
        <v>Liu, Rulin</v>
      </c>
      <c r="B6" s="23">
        <v>0</v>
      </c>
      <c r="C6" s="16"/>
      <c r="D6" s="10"/>
      <c r="E6" s="10"/>
    </row>
    <row r="7" ht="13.55" customHeight="1">
      <c r="A7" t="str" s="22" cm="1">
        <f t="array" ref="A7">IF('PARAMETROS'!A46=$B$1,"",'PARAMETROS'!A46)</f>
        <v>Marchante Vento, Benito</v>
      </c>
      <c r="B7" s="23">
        <v>0</v>
      </c>
      <c r="C7" s="16"/>
      <c r="D7" s="10"/>
      <c r="E7" s="10"/>
    </row>
    <row r="8" ht="13.55" customHeight="1">
      <c r="A8" t="str" s="22" cm="1">
        <f t="array" ref="A8">IF('PARAMETROS'!A47=$B$1,"",'PARAMETROS'!A47)</f>
        <v>Merroun, Youssef</v>
      </c>
      <c r="B8" s="23">
        <v>0</v>
      </c>
      <c r="C8" s="16"/>
      <c r="D8" s="10"/>
      <c r="E8" s="10"/>
    </row>
    <row r="9" ht="13.55" customHeight="1">
      <c r="A9" t="str" s="22" cm="1">
        <f t="array" ref="A9">IF('PARAMETROS'!A48=$B$1,"",'PARAMETROS'!A48)</f>
        <v>Reinoso Alvarado, Álvaro</v>
      </c>
      <c r="B9" s="23">
        <v>0</v>
      </c>
      <c r="C9" s="16"/>
      <c r="D9" s="10"/>
      <c r="E9" s="10"/>
    </row>
    <row r="10" ht="13.55" customHeight="1">
      <c r="A10" t="str" s="22" cm="1">
        <f t="array" ref="A10">IF('PARAMETROS'!A49=$B$1,"",'PARAMETROS'!A49)</f>
        <v>Sopranzetti, Macarena</v>
      </c>
      <c r="B10" s="23">
        <v>0</v>
      </c>
      <c r="C10" s="16"/>
      <c r="D10" s="10"/>
      <c r="E10" s="10"/>
    </row>
    <row r="11" ht="13.55" customHeight="1">
      <c r="A11" t="str" s="22" cm="1">
        <f t="array" ref="A11">IF('PARAMETROS'!A50=$B$1,"",'PARAMETROS'!A50)</f>
      </c>
      <c r="B11" s="23">
        <v>0</v>
      </c>
      <c r="C11" s="16"/>
      <c r="D11" s="10"/>
      <c r="E11" s="10"/>
    </row>
    <row r="12" ht="13.55" customHeight="1">
      <c r="A12" t="str" s="22" cm="1">
        <f t="array" ref="A12">IF('PARAMETROS'!A51=$B$1,"",'PARAMETROS'!A51)</f>
      </c>
      <c r="B12" s="23">
        <v>0</v>
      </c>
      <c r="C12" s="16"/>
      <c r="D12" s="10"/>
      <c r="E12" s="10"/>
    </row>
    <row r="13" ht="13.55" customHeight="1">
      <c r="A13" t="str" s="22" cm="1">
        <f t="array" ref="A13">IF('PARAMETROS'!A52=$B$1,"",'PARAMETROS'!A52)</f>
      </c>
      <c r="B13" s="23">
        <v>0</v>
      </c>
      <c r="C13" s="16"/>
      <c r="D13" s="10"/>
      <c r="E13" s="10"/>
    </row>
    <row r="14" ht="13.55" customHeight="1">
      <c r="A14" t="str" s="22" cm="1">
        <f t="array" ref="A14">IF('PARAMETROS'!A53=$B$1,"",'PARAMETROS'!A53)</f>
      </c>
      <c r="B14" s="23">
        <v>0</v>
      </c>
      <c r="C14" s="16"/>
      <c r="D14" s="10"/>
      <c r="E14" s="10"/>
    </row>
    <row r="15" ht="13.55" customHeight="1">
      <c r="A15" t="str" s="22" cm="1">
        <f t="array" ref="A15">IF('PARAMETROS'!A54=$B$1,"",'PARAMETROS'!A54)</f>
      </c>
      <c r="B15" s="23">
        <v>0</v>
      </c>
      <c r="C15" s="16"/>
      <c r="D15" s="10"/>
      <c r="E15" s="10"/>
    </row>
    <row r="16" ht="21" customHeight="1">
      <c r="A16" t="s" s="24">
        <v>20</v>
      </c>
      <c r="B16" s="25" cm="1">
        <f t="array" ref="B16">'PARAMETROS'!$D$4-SUM(B4:B15)</f>
        <v>35</v>
      </c>
      <c r="C16" s="10"/>
      <c r="D16" s="10"/>
      <c r="E16" s="10"/>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10.6667" defaultRowHeight="15" customHeight="1" outlineLevelRow="0" outlineLevelCol="0"/>
  <cols>
    <col min="1" max="1" width="25.5" style="28" customWidth="1"/>
    <col min="2" max="2" width="34.3516" style="28" customWidth="1"/>
    <col min="3" max="3" width="41.6719" style="28" customWidth="1"/>
    <col min="4" max="5" width="10.6719" style="28" customWidth="1"/>
    <col min="6" max="16384" width="10.6719" style="28" customWidth="1"/>
  </cols>
  <sheetData>
    <row r="1" ht="21" customHeight="1">
      <c r="A1" t="s" s="19">
        <v>12</v>
      </c>
      <c r="B1" s="8"/>
      <c r="C1" t="s" s="9">
        <v>13</v>
      </c>
      <c r="D1" s="10"/>
      <c r="E1" s="10"/>
    </row>
    <row r="2" ht="13.55" customHeight="1">
      <c r="A2" s="10"/>
      <c r="B2" s="11"/>
      <c r="C2" s="10"/>
      <c r="D2" s="10"/>
      <c r="E2" s="10"/>
    </row>
    <row r="3" ht="21" customHeight="1">
      <c r="A3" t="s" s="20">
        <v>14</v>
      </c>
      <c r="B3" t="s" s="21">
        <v>8</v>
      </c>
      <c r="C3" s="10"/>
      <c r="D3" s="10"/>
      <c r="E3" s="10"/>
    </row>
    <row r="4" ht="13.55" customHeight="1">
      <c r="A4" t="str" s="22" cm="1">
        <f t="array" ref="A4">IF('PARAMETROS'!A57=$B$1,"",'PARAMETROS'!A57)</f>
        <v>Arranz Avilés, Cristina</v>
      </c>
      <c r="B4" s="23">
        <v>0</v>
      </c>
      <c r="C4" s="16"/>
      <c r="D4" s="10"/>
      <c r="E4" s="10"/>
    </row>
    <row r="5" ht="13.55" customHeight="1">
      <c r="A5" t="str" s="22" cm="1">
        <f t="array" ref="A5">IF('PARAMETROS'!A58=$B$1,"",'PARAMETROS'!A58)</f>
        <v>Bernal Carretero, José</v>
      </c>
      <c r="B5" s="23">
        <v>0</v>
      </c>
      <c r="C5" s="16"/>
      <c r="D5" s="10"/>
      <c r="E5" s="10"/>
    </row>
    <row r="6" ht="13.55" customHeight="1">
      <c r="A6" t="str" s="22" cm="1">
        <f t="array" ref="A6">IF('PARAMETROS'!A59=$B$1,"",'PARAMETROS'!A59)</f>
        <v>Domínguez Torres, José María</v>
      </c>
      <c r="B6" s="23">
        <v>0</v>
      </c>
      <c r="C6" s="16"/>
      <c r="D6" s="10"/>
      <c r="E6" s="10"/>
    </row>
    <row r="7" ht="13.55" customHeight="1">
      <c r="A7" t="str" s="22" cm="1">
        <f t="array" ref="A7">IF('PARAMETROS'!A60=$B$1,"",'PARAMETROS'!A60)</f>
        <v>Gallegos Ramírez, Víctor</v>
      </c>
      <c r="B7" s="23">
        <v>0</v>
      </c>
      <c r="C7" s="16"/>
      <c r="D7" s="10"/>
      <c r="E7" s="10"/>
    </row>
    <row r="8" ht="13.55" customHeight="1">
      <c r="A8" t="str" s="22" cm="1">
        <f t="array" ref="A8">IF('PARAMETROS'!A61=$B$1,"",'PARAMETROS'!A61)</f>
        <v>Lara Prades, Miguel De</v>
      </c>
      <c r="B8" s="23">
        <v>0</v>
      </c>
      <c r="C8" s="16"/>
      <c r="D8" s="10"/>
      <c r="E8" s="10"/>
    </row>
    <row r="9" ht="13.55" customHeight="1">
      <c r="A9" t="str" s="22" cm="1">
        <f t="array" ref="A9">IF('PARAMETROS'!A62=$B$1,"",'PARAMETROS'!A62)</f>
        <v>Troyano Gil, Rocío</v>
      </c>
      <c r="B9" s="23">
        <v>0</v>
      </c>
      <c r="C9" s="16"/>
      <c r="D9" s="10"/>
      <c r="E9" s="10"/>
    </row>
    <row r="10" ht="13.55" customHeight="1">
      <c r="A10" t="str" s="22" cm="1">
        <f t="array" ref="A10">IF('PARAMETROS'!A63=$B$1,"",'PARAMETROS'!A63)</f>
      </c>
      <c r="B10" s="23">
        <v>0</v>
      </c>
      <c r="C10" s="16"/>
      <c r="D10" s="10"/>
      <c r="E10" s="10"/>
    </row>
    <row r="11" ht="13.55" customHeight="1">
      <c r="A11" t="str" s="22" cm="1">
        <f t="array" ref="A11">IF('PARAMETROS'!A64=$B$1,"",'PARAMETROS'!A64)</f>
      </c>
      <c r="B11" s="23">
        <v>0</v>
      </c>
      <c r="C11" s="16"/>
      <c r="D11" s="10"/>
      <c r="E11" s="10"/>
    </row>
    <row r="12" ht="13.55" customHeight="1">
      <c r="A12" t="str" s="22" cm="1">
        <f t="array" ref="A12">IF('PARAMETROS'!A65=$B$1,"",'PARAMETROS'!A65)</f>
      </c>
      <c r="B12" s="15"/>
      <c r="C12" s="16"/>
      <c r="D12" s="10"/>
      <c r="E12" s="10"/>
    </row>
    <row r="13" ht="13.55" customHeight="1">
      <c r="A13" t="str" s="22" cm="1">
        <f t="array" ref="A13">IF('PARAMETROS'!A66=$B$1,"",'PARAMETROS'!A66)</f>
      </c>
      <c r="B13" s="15"/>
      <c r="C13" s="16"/>
      <c r="D13" s="10"/>
      <c r="E13" s="10"/>
    </row>
    <row r="14" ht="13.55" customHeight="1">
      <c r="A14" t="str" s="22" cm="1">
        <f t="array" ref="A14">IF('PARAMETROS'!A67=$B$1,"",'PARAMETROS'!A67)</f>
      </c>
      <c r="B14" s="15"/>
      <c r="C14" s="16"/>
      <c r="D14" s="10"/>
      <c r="E14" s="10"/>
    </row>
    <row r="15" ht="13.55" customHeight="1">
      <c r="A15" t="str" s="22" cm="1">
        <f t="array" ref="A15">IF('PARAMETROS'!A68=$B$1,"",'PARAMETROS'!A68)</f>
      </c>
      <c r="B15" s="15"/>
      <c r="C15" s="16"/>
      <c r="D15" s="10"/>
      <c r="E15" s="10"/>
    </row>
    <row r="16" ht="21" customHeight="1">
      <c r="A16" t="s" s="24">
        <v>20</v>
      </c>
      <c r="B16" s="25" cm="1">
        <f t="array" ref="B16">'PARAMETROS'!$D$5-SUM(B4:B15)</f>
        <v>35</v>
      </c>
      <c r="C16" s="10"/>
      <c r="D16" s="10"/>
      <c r="E16" s="10"/>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5"/>
  <sheetViews>
    <sheetView workbookViewId="0" showGridLines="0" defaultGridColor="1"/>
  </sheetViews>
  <sheetFormatPr defaultColWidth="10.6667" defaultRowHeight="15" customHeight="1" outlineLevelRow="0" outlineLevelCol="0"/>
  <cols>
    <col min="1" max="1" width="25.5" style="29" customWidth="1"/>
    <col min="2" max="2" width="34.3516" style="29" customWidth="1"/>
    <col min="3" max="3" width="41.1719" style="29" customWidth="1"/>
    <col min="4" max="5" width="10.6719" style="29" customWidth="1"/>
    <col min="6" max="16384" width="10.6719" style="29" customWidth="1"/>
  </cols>
  <sheetData>
    <row r="1" ht="21" customHeight="1">
      <c r="A1" t="s" s="19">
        <v>12</v>
      </c>
      <c r="B1" s="8"/>
      <c r="C1" t="s" s="9">
        <v>13</v>
      </c>
      <c r="D1" s="10"/>
      <c r="E1" s="10"/>
    </row>
    <row r="2" ht="13.55" customHeight="1">
      <c r="A2" s="10"/>
      <c r="B2" s="11"/>
      <c r="C2" s="10"/>
      <c r="D2" s="10"/>
      <c r="E2" s="10"/>
    </row>
    <row r="3" ht="21" customHeight="1">
      <c r="A3" t="s" s="20">
        <v>14</v>
      </c>
      <c r="B3" t="s" s="21">
        <v>8</v>
      </c>
      <c r="C3" s="10"/>
      <c r="D3" s="10"/>
      <c r="E3" s="10"/>
    </row>
    <row r="4" ht="13.55" customHeight="1">
      <c r="A4" t="str" s="22" cm="1">
        <f t="array" ref="A4">IF('PARAMETROS'!A71=$B$1,"",'PARAMETROS'!A71)</f>
        <v>Ballesteros Cordón, Daniel</v>
      </c>
      <c r="B4" s="23">
        <v>0</v>
      </c>
      <c r="C4" s="16"/>
      <c r="D4" s="10"/>
      <c r="E4" s="10"/>
    </row>
    <row r="5" ht="13.55" customHeight="1">
      <c r="A5" t="str" s="22" cm="1">
        <f t="array" ref="A5">IF('PARAMETROS'!A72=$B$1,"",'PARAMETROS'!A72)</f>
        <v>Cortés Ocaña, Jorge Sebastián</v>
      </c>
      <c r="B5" s="23">
        <v>0</v>
      </c>
      <c r="C5" s="16"/>
      <c r="D5" s="10"/>
      <c r="E5" s="10"/>
    </row>
    <row r="6" ht="13.55" customHeight="1">
      <c r="A6" t="str" s="22" cm="1">
        <f t="array" ref="A6">IF('PARAMETROS'!A73=$B$1,"",'PARAMETROS'!A73)</f>
        <v>Rodríguez Benítez, Cristina</v>
      </c>
      <c r="B6" s="23">
        <v>0</v>
      </c>
      <c r="C6" s="16"/>
      <c r="D6" s="10"/>
      <c r="E6" s="10"/>
    </row>
    <row r="7" ht="13.55" customHeight="1">
      <c r="A7" t="str" s="22" cm="1">
        <f t="array" ref="A7">IF('PARAMETROS'!A74=$B$1,"",'PARAMETROS'!A74)</f>
        <v>Rodríguez Dik, Denis</v>
      </c>
      <c r="B7" s="23">
        <v>0</v>
      </c>
      <c r="C7" s="16"/>
      <c r="D7" s="10"/>
      <c r="E7" s="10"/>
    </row>
    <row r="8" ht="13.55" customHeight="1">
      <c r="A8" t="str" s="22" cm="1">
        <f t="array" ref="A8">IF('PARAMETROS'!A75=$B$1,"",'PARAMETROS'!A75)</f>
        <v>Plaza Ortiz, José</v>
      </c>
      <c r="B8" s="23">
        <v>0</v>
      </c>
      <c r="C8" s="16"/>
      <c r="D8" s="10"/>
      <c r="E8" s="10"/>
    </row>
    <row r="9" ht="13.55" customHeight="1">
      <c r="A9" t="str" s="22" cm="1">
        <f t="array" ref="A9">IF('PARAMETROS'!A76=$B$1,"",'PARAMETROS'!A76)</f>
        <v>Wang, Yipin</v>
      </c>
      <c r="B9" s="23">
        <v>0</v>
      </c>
      <c r="C9" s="16"/>
      <c r="D9" s="10"/>
      <c r="E9" s="10"/>
    </row>
    <row r="10" ht="13.55" customHeight="1">
      <c r="A10" t="str" s="22" cm="1">
        <f t="array" ref="A10">IF('PARAMETROS'!A77=$B$1,"",'PARAMETROS'!A77)</f>
      </c>
      <c r="B10" s="23">
        <v>0</v>
      </c>
      <c r="C10" s="16"/>
      <c r="D10" s="10"/>
      <c r="E10" s="10"/>
    </row>
    <row r="11" ht="13.55" customHeight="1">
      <c r="A11" t="str" s="22" cm="1">
        <f t="array" ref="A11">IF('PARAMETROS'!A78=$B$1,"",'PARAMETROS'!A78)</f>
      </c>
      <c r="B11" s="23">
        <v>0</v>
      </c>
      <c r="C11" s="16"/>
      <c r="D11" s="10"/>
      <c r="E11" s="10"/>
    </row>
    <row r="12" ht="13.55" customHeight="1">
      <c r="A12" t="str" s="22" cm="1">
        <f t="array" ref="A12">IF('PARAMETROS'!A79=$B$1,"",'PARAMETROS'!A79)</f>
      </c>
      <c r="B12" s="23">
        <v>0</v>
      </c>
      <c r="C12" s="16"/>
      <c r="D12" s="10"/>
      <c r="E12" s="10"/>
    </row>
    <row r="13" ht="13.55" customHeight="1">
      <c r="A13" t="str" s="22" cm="1">
        <f t="array" ref="A13">IF('PARAMETROS'!A80=$B$1,"",'PARAMETROS'!A80)</f>
      </c>
      <c r="B13" s="23">
        <v>0</v>
      </c>
      <c r="C13" s="16"/>
      <c r="D13" s="10"/>
      <c r="E13" s="10"/>
    </row>
    <row r="14" ht="13.55" customHeight="1">
      <c r="A14" t="str" s="22" cm="1">
        <f t="array" ref="A14">IF('PARAMETROS'!A81=$B$1,"",'PARAMETROS'!A81)</f>
      </c>
      <c r="B14" s="23">
        <v>0</v>
      </c>
      <c r="C14" s="16"/>
      <c r="D14" s="10"/>
      <c r="E14" s="10"/>
    </row>
    <row r="15" ht="21" customHeight="1">
      <c r="A15" t="s" s="24">
        <v>20</v>
      </c>
      <c r="B15" s="25" cm="1">
        <f t="array" ref="B15">'PARAMETROS'!$D$6-SUM(B4:B14)</f>
        <v>30</v>
      </c>
      <c r="C15" s="10"/>
      <c r="D15" s="10"/>
      <c r="E15" s="10"/>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10.6667" defaultRowHeight="15" customHeight="1" outlineLevelRow="0" outlineLevelCol="0"/>
  <cols>
    <col min="1" max="1" width="33.6719" style="30" customWidth="1"/>
    <col min="2" max="2" width="34.3516" style="30" customWidth="1"/>
    <col min="3" max="3" width="42.1719" style="30" customWidth="1"/>
    <col min="4" max="5" width="10.6719" style="30" customWidth="1"/>
    <col min="6" max="16384" width="10.6719" style="30" customWidth="1"/>
  </cols>
  <sheetData>
    <row r="1" ht="21" customHeight="1">
      <c r="A1" t="s" s="19">
        <v>12</v>
      </c>
      <c r="B1" t="s" s="31">
        <v>52</v>
      </c>
      <c r="C1" t="s" s="9">
        <v>13</v>
      </c>
      <c r="D1" s="10"/>
      <c r="E1" s="10"/>
    </row>
    <row r="2" ht="13.55" customHeight="1">
      <c r="A2" s="10"/>
      <c r="B2" s="11"/>
      <c r="C2" s="10"/>
      <c r="D2" s="10"/>
      <c r="E2" s="10"/>
    </row>
    <row r="3" ht="21" customHeight="1">
      <c r="A3" t="s" s="20">
        <v>14</v>
      </c>
      <c r="B3" t="s" s="21">
        <v>8</v>
      </c>
      <c r="C3" s="10"/>
      <c r="D3" s="10"/>
      <c r="E3" s="10"/>
    </row>
    <row r="4" ht="13.55" customHeight="1">
      <c r="A4" t="str" s="22" cm="1">
        <f t="array" ref="A4">IF('PARAMETROS'!A85=$B$1,"",'PARAMETROS'!A85)</f>
        <v>Benítez Anaya, Adriana</v>
      </c>
      <c r="B4" s="23">
        <v>7</v>
      </c>
      <c r="C4" s="16"/>
      <c r="D4" s="10"/>
      <c r="E4" s="10"/>
    </row>
    <row r="5" ht="13.55" customHeight="1">
      <c r="A5" t="str" s="22" cm="1">
        <f t="array" ref="A5">IF('PARAMETROS'!A86=$B$1,"",'PARAMETROS'!A86)</f>
        <v>Burbano Klinger, Mateo</v>
      </c>
      <c r="B5" s="23">
        <v>3</v>
      </c>
      <c r="C5" s="16"/>
      <c r="D5" s="10"/>
      <c r="E5" s="10"/>
    </row>
    <row r="6" ht="13.55" customHeight="1">
      <c r="A6" t="str" s="22" cm="1">
        <f t="array" ref="A6">IF('PARAMETROS'!A87=$B$1,"",'PARAMETROS'!A87)</f>
        <v>Delgado Sheperd, Rafael</v>
      </c>
      <c r="B6" s="23">
        <v>6</v>
      </c>
      <c r="C6" s="16"/>
      <c r="D6" s="10"/>
      <c r="E6" s="10"/>
    </row>
    <row r="7" ht="13.55" customHeight="1">
      <c r="A7" t="str" s="22" cm="1">
        <f t="array" ref="A7">IF('PARAMETROS'!A88=$B$1,"",'PARAMETROS'!A88)</f>
      </c>
      <c r="B7" s="23">
        <v>0</v>
      </c>
      <c r="C7" s="16"/>
      <c r="D7" s="10"/>
      <c r="E7" s="10"/>
    </row>
    <row r="8" ht="13.55" customHeight="1">
      <c r="A8" t="str" s="22" cm="1">
        <f t="array" ref="A8">IF('PARAMETROS'!A89=$B$1,"",'PARAMETROS'!A89)</f>
        <v>Ruiz Lara, Gonzalo</v>
      </c>
      <c r="B8" s="23">
        <v>7</v>
      </c>
      <c r="C8" s="16"/>
      <c r="D8" s="10"/>
      <c r="E8" s="10"/>
    </row>
    <row r="9" ht="13.55" customHeight="1">
      <c r="A9" t="str" s="22" cm="1">
        <f t="array" ref="A9">IF('PARAMETROS'!A90=$B$1,"",'PARAMETROS'!A90)</f>
        <v>Sepasi, Aryan</v>
      </c>
      <c r="B9" s="23">
        <v>5</v>
      </c>
      <c r="C9" s="16"/>
      <c r="D9" s="10"/>
      <c r="E9" s="10"/>
    </row>
    <row r="10" ht="13.55" customHeight="1">
      <c r="A10" t="str" s="22" cm="1">
        <f t="array" ref="A10">IF('PARAMETROS'!A91=$B$1,"",'PARAMETROS'!A91)</f>
        <v>Subiza Lupiáñez, Eloy</v>
      </c>
      <c r="B10" s="23">
        <v>7</v>
      </c>
      <c r="C10" s="16"/>
      <c r="D10" s="10"/>
      <c r="E10" s="10"/>
    </row>
    <row r="11" ht="13.55" customHeight="1">
      <c r="A11" s="32" cm="1">
        <f t="array" ref="A11">IF('PARAMETROS'!A92=$B$1,"",'PARAMETROS'!A92)</f>
        <v>0</v>
      </c>
      <c r="B11" s="23">
        <v>0</v>
      </c>
      <c r="C11" s="16"/>
      <c r="D11" s="10"/>
      <c r="E11" s="10"/>
    </row>
    <row r="12" ht="13.55" customHeight="1">
      <c r="A12" s="32" cm="1">
        <f t="array" ref="A12">IF('PARAMETROS'!A93=$B$1,"",'PARAMETROS'!A93)</f>
        <v>0</v>
      </c>
      <c r="B12" s="23">
        <v>0</v>
      </c>
      <c r="C12" s="16"/>
      <c r="D12" s="10"/>
      <c r="E12" s="10"/>
    </row>
    <row r="13" ht="13.55" customHeight="1">
      <c r="A13" s="32" cm="1">
        <f t="array" ref="A13">IF('PARAMETROS'!A94=$B$1,"",'PARAMETROS'!A94)</f>
        <v>0</v>
      </c>
      <c r="B13" s="23">
        <v>0</v>
      </c>
      <c r="C13" s="16"/>
      <c r="D13" s="10"/>
      <c r="E13" s="10"/>
    </row>
    <row r="14" ht="13.55" customHeight="1">
      <c r="A14" s="32" cm="1">
        <f t="array" ref="A14">IF('PARAMETROS'!A95=$B$1,"",'PARAMETROS'!A95)</f>
        <v>0</v>
      </c>
      <c r="B14" s="23">
        <v>0</v>
      </c>
      <c r="C14" s="16"/>
      <c r="D14" s="10"/>
      <c r="E14" s="10"/>
    </row>
    <row r="15" ht="13.55" customHeight="1">
      <c r="A15" s="32" cm="1">
        <f t="array" ref="A15">IF('PARAMETROS'!A96=$B$1,"",'PARAMETROS'!A96)</f>
        <v>0</v>
      </c>
      <c r="B15" s="23">
        <v>0</v>
      </c>
      <c r="C15" s="16"/>
      <c r="D15" s="10"/>
      <c r="E15" s="10"/>
    </row>
    <row r="16" ht="21" customHeight="1">
      <c r="A16" t="s" s="24">
        <v>20</v>
      </c>
      <c r="B16" s="25" cm="1">
        <f t="array" ref="B16">'PARAMETROS'!$D$7-SUM(B4:B15)</f>
        <v>0</v>
      </c>
      <c r="C16" s="10"/>
      <c r="D16" s="10"/>
      <c r="E16" s="10"/>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10.6667" defaultRowHeight="15" customHeight="1" outlineLevelRow="0" outlineLevelCol="0"/>
  <cols>
    <col min="1" max="1" width="40.6719" style="33" customWidth="1"/>
    <col min="2" max="2" width="34.3516" style="33" customWidth="1"/>
    <col min="3" max="3" width="40.8516" style="33" customWidth="1"/>
    <col min="4" max="5" width="10.6719" style="33" customWidth="1"/>
    <col min="6" max="16384" width="10.6719" style="33" customWidth="1"/>
  </cols>
  <sheetData>
    <row r="1" ht="21" customHeight="1">
      <c r="A1" t="s" s="19">
        <v>12</v>
      </c>
      <c r="B1" s="8"/>
      <c r="C1" t="s" s="9">
        <v>13</v>
      </c>
      <c r="D1" s="10"/>
      <c r="E1" s="10"/>
    </row>
    <row r="2" ht="13.55" customHeight="1">
      <c r="A2" s="10"/>
      <c r="B2" s="11"/>
      <c r="C2" s="10"/>
      <c r="D2" s="10"/>
      <c r="E2" s="10"/>
    </row>
    <row r="3" ht="21" customHeight="1">
      <c r="A3" t="s" s="20">
        <v>14</v>
      </c>
      <c r="B3" t="s" s="21">
        <v>8</v>
      </c>
      <c r="C3" s="10"/>
      <c r="D3" s="10"/>
      <c r="E3" s="10"/>
    </row>
    <row r="4" ht="13.55" customHeight="1">
      <c r="A4" t="str" s="22" cm="1">
        <f t="array" ref="A4">IF('PARAMETROS'!A99=$B$1,"",'PARAMETROS'!A99)</f>
        <v>Duplava, Víctor</v>
      </c>
      <c r="B4" s="23">
        <v>0</v>
      </c>
      <c r="C4" s="16"/>
      <c r="D4" s="10"/>
      <c r="E4" s="10"/>
    </row>
    <row r="5" ht="13.55" customHeight="1">
      <c r="A5" t="str" s="22" cm="1">
        <f t="array" ref="A5">IF('PARAMETROS'!A100=$B$1,"",'PARAMETROS'!A100)</f>
        <v>García Ortiz, Óscar</v>
      </c>
      <c r="B5" s="23">
        <v>0</v>
      </c>
      <c r="C5" s="16"/>
      <c r="D5" s="10"/>
      <c r="E5" s="10"/>
    </row>
    <row r="6" ht="13.55" customHeight="1">
      <c r="A6" t="str" s="22" cm="1">
        <f t="array" ref="A6">IF('PARAMETROS'!A101=$B$1,"",'PARAMETROS'!A101)</f>
        <v>García Rodríguez, Juan Manuel</v>
      </c>
      <c r="B6" s="23">
        <v>0</v>
      </c>
      <c r="C6" s="16"/>
      <c r="D6" s="10"/>
      <c r="E6" s="10"/>
    </row>
    <row r="7" ht="13.55" customHeight="1">
      <c r="A7" t="str" s="22" cm="1">
        <f t="array" ref="A7">IF('PARAMETROS'!A102=$B$1,"",'PARAMETROS'!A102)</f>
        <v>Jiménez Jiménez, Javier Andrés</v>
      </c>
      <c r="B7" s="23">
        <v>0</v>
      </c>
      <c r="C7" s="16"/>
      <c r="D7" s="10"/>
      <c r="E7" s="10"/>
    </row>
    <row r="8" ht="13.55" customHeight="1">
      <c r="A8" t="str" s="22" cm="1">
        <f t="array" ref="A8">IF('PARAMETROS'!A103=$B$1,"",'PARAMETROS'!A103)</f>
        <v>Macías García, Miguel Ángel</v>
      </c>
      <c r="B8" s="23">
        <v>0</v>
      </c>
      <c r="C8" s="16"/>
      <c r="D8" s="10"/>
      <c r="E8" s="10"/>
    </row>
    <row r="9" ht="13.55" customHeight="1">
      <c r="A9" t="str" s="22" cm="1">
        <f t="array" ref="A9">IF('PARAMETROS'!A104=$B$1,"",'PARAMETROS'!A104)</f>
        <v>Pérez Vega, Miguel</v>
      </c>
      <c r="B9" s="23">
        <v>0</v>
      </c>
      <c r="C9" s="16"/>
      <c r="D9" s="10"/>
      <c r="E9" s="10"/>
    </row>
    <row r="10" ht="13.55" customHeight="1">
      <c r="A10" t="str" s="22" cm="1">
        <f t="array" ref="A10">IF('PARAMETROS'!A105=$B$1,"",'PARAMETROS'!A105)</f>
        <v>Puerto Molina, Daniel</v>
      </c>
      <c r="B10" s="23">
        <v>0</v>
      </c>
      <c r="C10" s="16"/>
      <c r="D10" s="10"/>
      <c r="E10" s="10"/>
    </row>
    <row r="11" ht="13.55" customHeight="1">
      <c r="A11" t="str" s="22" cm="1">
        <f t="array" ref="A11">IF('PARAMETROS'!A106=$B$1,"",'PARAMETROS'!A106)</f>
      </c>
      <c r="B11" s="23">
        <v>0</v>
      </c>
      <c r="C11" s="16"/>
      <c r="D11" s="10"/>
      <c r="E11" s="10"/>
    </row>
    <row r="12" ht="13.55" customHeight="1">
      <c r="A12" t="str" s="22" cm="1">
        <f t="array" ref="A12">IF('PARAMETROS'!A107=$B$1,"",'PARAMETROS'!A107)</f>
      </c>
      <c r="B12" s="23">
        <v>0</v>
      </c>
      <c r="C12" s="16"/>
      <c r="D12" s="10"/>
      <c r="E12" s="10"/>
    </row>
    <row r="13" ht="13.55" customHeight="1">
      <c r="A13" t="str" s="22" cm="1">
        <f t="array" ref="A13">IF('PARAMETROS'!A108=$B$1,"",'PARAMETROS'!A108)</f>
      </c>
      <c r="B13" s="23">
        <v>0</v>
      </c>
      <c r="C13" s="16"/>
      <c r="D13" s="10"/>
      <c r="E13" s="10"/>
    </row>
    <row r="14" ht="13.55" customHeight="1">
      <c r="A14" t="str" s="22" cm="1">
        <f t="array" ref="A14">IF('PARAMETROS'!A109=$B$1,"",'PARAMETROS'!A109)</f>
      </c>
      <c r="B14" s="23">
        <v>0</v>
      </c>
      <c r="C14" s="16"/>
      <c r="D14" s="10"/>
      <c r="E14" s="10"/>
    </row>
    <row r="15" ht="13.55" customHeight="1">
      <c r="A15" t="str" s="22" cm="1">
        <f t="array" ref="A15">IF('PARAMETROS'!A110=$B$1,"",'PARAMETROS'!A110)</f>
      </c>
      <c r="B15" s="23">
        <v>0</v>
      </c>
      <c r="C15" s="16"/>
      <c r="D15" s="10"/>
      <c r="E15" s="10"/>
    </row>
    <row r="16" ht="21" customHeight="1">
      <c r="A16" t="s" s="24">
        <v>20</v>
      </c>
      <c r="B16" s="25" cm="1">
        <f t="array" ref="B16">'PARAMETROS'!$D$8-SUM(B4:B15)</f>
        <v>30</v>
      </c>
      <c r="C16" s="10"/>
      <c r="D16" s="10"/>
      <c r="E16" s="10"/>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10.6667" defaultRowHeight="15" customHeight="1" outlineLevelRow="0" outlineLevelCol="0"/>
  <cols>
    <col min="1" max="1" width="34.5" style="34" customWidth="1"/>
    <col min="2" max="2" width="34.3516" style="34" customWidth="1"/>
    <col min="3" max="3" width="41" style="34" customWidth="1"/>
    <col min="4" max="5" width="10.6719" style="34" customWidth="1"/>
    <col min="6" max="16384" width="10.6719" style="34" customWidth="1"/>
  </cols>
  <sheetData>
    <row r="1" ht="21" customHeight="1">
      <c r="A1" t="s" s="19">
        <v>12</v>
      </c>
      <c r="B1" s="8"/>
      <c r="C1" t="s" s="9">
        <v>13</v>
      </c>
      <c r="D1" s="10"/>
      <c r="E1" s="10"/>
    </row>
    <row r="2" ht="13.55" customHeight="1">
      <c r="A2" s="10"/>
      <c r="B2" s="11"/>
      <c r="C2" s="10"/>
      <c r="D2" s="10"/>
      <c r="E2" s="10"/>
    </row>
    <row r="3" ht="21" customHeight="1">
      <c r="A3" t="s" s="20">
        <v>14</v>
      </c>
      <c r="B3" t="s" s="21">
        <v>8</v>
      </c>
      <c r="C3" s="10"/>
      <c r="D3" s="10"/>
      <c r="E3" s="10"/>
    </row>
    <row r="4" ht="13.55" customHeight="1">
      <c r="A4" t="str" s="22" cm="1">
        <f t="array" ref="A4">IF('PARAMETROS'!A113=$B$1,"",'PARAMETROS'!A113)</f>
        <v>Martín Andújar, Loretta</v>
      </c>
      <c r="B4" s="23">
        <v>0</v>
      </c>
      <c r="C4" s="16"/>
      <c r="D4" s="10"/>
      <c r="E4" s="10"/>
    </row>
    <row r="5" ht="13.55" customHeight="1">
      <c r="A5" t="str" s="22" cm="1">
        <f t="array" ref="A5">IF('PARAMETROS'!A114=$B$1,"",'PARAMETROS'!A114)</f>
        <v>Mustafa, Robert Marian</v>
      </c>
      <c r="B5" s="23">
        <v>0</v>
      </c>
      <c r="C5" s="16"/>
      <c r="D5" s="10"/>
      <c r="E5" s="10"/>
    </row>
    <row r="6" ht="13.55" customHeight="1">
      <c r="A6" t="str" s="22" cm="1">
        <f t="array" ref="A6">IF('PARAMETROS'!A115=$B$1,"",'PARAMETROS'!A115)</f>
        <v>Rodríguez Marcos, Adiel</v>
      </c>
      <c r="B6" s="23">
        <v>0</v>
      </c>
      <c r="C6" s="16"/>
      <c r="D6" s="10"/>
      <c r="E6" s="10"/>
    </row>
    <row r="7" ht="13.55" customHeight="1">
      <c r="A7" t="str" s="22" cm="1">
        <f t="array" ref="A7">IF('PARAMETROS'!A116=$B$1,"",'PARAMETROS'!A116)</f>
        <v>Rodríguez Pérez, Sandra</v>
      </c>
      <c r="B7" s="23">
        <v>0</v>
      </c>
      <c r="C7" s="16"/>
      <c r="D7" s="10"/>
      <c r="E7" s="10"/>
    </row>
    <row r="8" ht="13.55" customHeight="1">
      <c r="A8" t="str" s="22" cm="1">
        <f t="array" ref="A8">IF('PARAMETROS'!A117=$B$1,"",'PARAMETROS'!A117)</f>
        <v>Romero López, Telesforo</v>
      </c>
      <c r="B8" s="23">
        <v>0</v>
      </c>
      <c r="C8" s="16"/>
      <c r="D8" s="10"/>
      <c r="E8" s="10"/>
    </row>
    <row r="9" ht="13.55" customHeight="1">
      <c r="A9" t="str" s="22" cm="1">
        <f t="array" ref="A9">IF('PARAMETROS'!A118=$B$1,"",'PARAMETROS'!A118)</f>
        <v>Ruiz Navas, Sergio</v>
      </c>
      <c r="B9" s="23">
        <v>0</v>
      </c>
      <c r="C9" s="16"/>
      <c r="D9" s="10"/>
      <c r="E9" s="10"/>
    </row>
    <row r="10" ht="13.55" customHeight="1">
      <c r="A10" t="str" s="22" cm="1">
        <f t="array" ref="A10">IF('PARAMETROS'!A119=$B$1,"",'PARAMETROS'!A119)</f>
        <v>Trujillo Sánchez-mateos, Hugo</v>
      </c>
      <c r="B10" s="23">
        <v>0</v>
      </c>
      <c r="C10" s="16"/>
      <c r="D10" s="10"/>
      <c r="E10" s="10"/>
    </row>
    <row r="11" ht="13.55" customHeight="1">
      <c r="A11" t="str" s="22" cm="1">
        <f t="array" ref="A11">IF('PARAMETROS'!A120=$B$1,"",'PARAMETROS'!A120)</f>
      </c>
      <c r="B11" s="23">
        <v>0</v>
      </c>
      <c r="C11" s="16"/>
      <c r="D11" s="10"/>
      <c r="E11" s="10"/>
    </row>
    <row r="12" ht="13.55" customHeight="1">
      <c r="A12" t="str" s="22" cm="1">
        <f t="array" ref="A12">IF('PARAMETROS'!A121=$B$1,"",'PARAMETROS'!A121)</f>
      </c>
      <c r="B12" s="23">
        <v>0</v>
      </c>
      <c r="C12" s="16"/>
      <c r="D12" s="10"/>
      <c r="E12" s="10"/>
    </row>
    <row r="13" ht="13.55" customHeight="1">
      <c r="A13" t="str" s="22" cm="1">
        <f t="array" ref="A13">IF('PARAMETROS'!A122=$B$1,"",'PARAMETROS'!A122)</f>
      </c>
      <c r="B13" s="23">
        <v>0</v>
      </c>
      <c r="C13" s="16"/>
      <c r="D13" s="10"/>
      <c r="E13" s="10"/>
    </row>
    <row r="14" ht="13.55" customHeight="1">
      <c r="A14" t="str" s="22" cm="1">
        <f t="array" ref="A14">IF('PARAMETROS'!A123=$B$1,"",'PARAMETROS'!A123)</f>
      </c>
      <c r="B14" s="23">
        <v>0</v>
      </c>
      <c r="C14" s="16"/>
      <c r="D14" s="10"/>
      <c r="E14" s="10"/>
    </row>
    <row r="15" ht="13.55" customHeight="1">
      <c r="A15" t="str" s="22" cm="1">
        <f t="array" ref="A15">IF('PARAMETROS'!A124=$B$1,"",'PARAMETROS'!A124)</f>
      </c>
      <c r="B15" s="23">
        <v>0</v>
      </c>
      <c r="C15" s="16"/>
      <c r="D15" s="10"/>
      <c r="E15" s="10"/>
    </row>
    <row r="16" ht="21" customHeight="1">
      <c r="A16" t="s" s="24">
        <v>20</v>
      </c>
      <c r="B16" s="25" cm="1">
        <f t="array" ref="B16">'PARAMETROS'!$D$9-SUM(B4:B15)</f>
        <v>35</v>
      </c>
      <c r="C16" s="10"/>
      <c r="D16" s="10"/>
      <c r="E16" s="10"/>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10.6667" defaultRowHeight="15" customHeight="1" outlineLevelRow="0" outlineLevelCol="0"/>
  <cols>
    <col min="1" max="1" width="25.5" style="35" customWidth="1"/>
    <col min="2" max="2" width="34.3516" style="35" customWidth="1"/>
    <col min="3" max="3" width="42" style="35" customWidth="1"/>
    <col min="4" max="5" width="10.6719" style="35" customWidth="1"/>
    <col min="6" max="16384" width="10.6719" style="35" customWidth="1"/>
  </cols>
  <sheetData>
    <row r="1" ht="21" customHeight="1">
      <c r="A1" t="s" s="19">
        <v>12</v>
      </c>
      <c r="B1" s="8"/>
      <c r="C1" t="s" s="9">
        <v>13</v>
      </c>
      <c r="D1" s="10"/>
      <c r="E1" s="10"/>
    </row>
    <row r="2" ht="13.55" customHeight="1">
      <c r="A2" s="10"/>
      <c r="B2" s="11"/>
      <c r="C2" s="10"/>
      <c r="D2" s="10"/>
      <c r="E2" s="10"/>
    </row>
    <row r="3" ht="21" customHeight="1">
      <c r="A3" t="s" s="20">
        <v>14</v>
      </c>
      <c r="B3" t="s" s="21">
        <v>8</v>
      </c>
      <c r="C3" s="10"/>
      <c r="D3" s="10"/>
      <c r="E3" s="10"/>
    </row>
    <row r="4" ht="13.55" customHeight="1">
      <c r="A4" t="str" s="22" cm="1">
        <f t="array" ref="A4">IF('PARAMETROS'!A127=$B$1,"",'PARAMETROS'!A127)</f>
        <v>Al Haidar El Boudrai, Yousef</v>
      </c>
      <c r="B4" s="23">
        <v>0</v>
      </c>
      <c r="C4" s="16"/>
      <c r="D4" s="10"/>
      <c r="E4" s="10"/>
    </row>
    <row r="5" ht="13.55" customHeight="1">
      <c r="A5" t="str" s="22" cm="1">
        <f t="array" ref="A5">IF('PARAMETROS'!A128=$B$1,"",'PARAMETROS'!A128)</f>
        <v>Guerrero Mejía, Irene</v>
      </c>
      <c r="B5" s="23">
        <v>0</v>
      </c>
      <c r="C5" s="16"/>
      <c r="D5" s="10"/>
      <c r="E5" s="10"/>
    </row>
    <row r="6" ht="13.55" customHeight="1">
      <c r="A6" t="str" s="22" cm="1">
        <f t="array" ref="A6">IF('PARAMETROS'!A129=$B$1,"",'PARAMETROS'!A129)</f>
        <v>Martínez Saborido, Javier</v>
      </c>
      <c r="B6" s="23">
        <v>0</v>
      </c>
      <c r="C6" s="16"/>
      <c r="D6" s="10"/>
      <c r="E6" s="10"/>
    </row>
    <row r="7" ht="13.55" customHeight="1">
      <c r="A7" t="str" s="22" cm="1">
        <f t="array" ref="A7">IF('PARAMETROS'!A130=$B$1,"",'PARAMETROS'!A130)</f>
        <v>Mérida-nicolich Maldonado, Gonzalo</v>
      </c>
      <c r="B7" s="23">
        <v>0</v>
      </c>
      <c r="C7" s="16"/>
      <c r="D7" s="10"/>
      <c r="E7" s="10"/>
    </row>
    <row r="8" ht="13.55" customHeight="1">
      <c r="A8" t="str" s="22" cm="1">
        <f t="array" ref="A8">IF('PARAMETROS'!A131=$B$1,"",'PARAMETROS'!A131)</f>
        <v>Pérez-piaya Ayoso, Miguel</v>
      </c>
      <c r="B8" s="23">
        <v>0</v>
      </c>
      <c r="C8" s="16"/>
      <c r="D8" s="10"/>
      <c r="E8" s="10"/>
    </row>
    <row r="9" ht="13.55" customHeight="1">
      <c r="A9" t="str" s="22" cm="1">
        <f t="array" ref="A9">IF('PARAMETROS'!A132=$B$1,"",'PARAMETROS'!A132)</f>
        <v>Rodríguez González, Néstor</v>
      </c>
      <c r="B9" s="23">
        <v>0</v>
      </c>
      <c r="C9" s="16"/>
      <c r="D9" s="10"/>
      <c r="E9" s="10"/>
    </row>
    <row r="10" ht="13.55" customHeight="1">
      <c r="A10" t="str" s="22" cm="1">
        <f t="array" ref="A10">IF('PARAMETROS'!A133=$B$1,"",'PARAMETROS'!A133)</f>
        <v>Rodríguez Martínez, Adrián</v>
      </c>
      <c r="B10" s="23">
        <v>0</v>
      </c>
      <c r="C10" s="16"/>
      <c r="D10" s="10"/>
      <c r="E10" s="10"/>
    </row>
    <row r="11" ht="13.55" customHeight="1">
      <c r="A11" t="str" s="22" cm="1">
        <f t="array" ref="A11">IF('PARAMETROS'!A134=$B$1,"",'PARAMETROS'!A134)</f>
      </c>
      <c r="B11" s="23">
        <v>0</v>
      </c>
      <c r="C11" s="16"/>
      <c r="D11" s="10"/>
      <c r="E11" s="10"/>
    </row>
    <row r="12" ht="13.55" customHeight="1">
      <c r="A12" t="str" s="22" cm="1">
        <f t="array" ref="A12">IF('PARAMETROS'!A135=$B$1,"",'PARAMETROS'!A135)</f>
      </c>
      <c r="B12" s="23">
        <v>0</v>
      </c>
      <c r="C12" s="16"/>
      <c r="D12" s="10"/>
      <c r="E12" s="10"/>
    </row>
    <row r="13" ht="13.55" customHeight="1">
      <c r="A13" t="str" s="22" cm="1">
        <f t="array" ref="A13">IF('PARAMETROS'!A136=$B$1,"",'PARAMETROS'!A136)</f>
      </c>
      <c r="B13" s="23">
        <v>0</v>
      </c>
      <c r="C13" s="16"/>
      <c r="D13" s="10"/>
      <c r="E13" s="10"/>
    </row>
    <row r="14" ht="13.55" customHeight="1">
      <c r="A14" t="str" s="22" cm="1">
        <f t="array" ref="A14">IF('PARAMETROS'!A137=$B$1,"",'PARAMETROS'!A137)</f>
      </c>
      <c r="B14" s="23">
        <v>0</v>
      </c>
      <c r="C14" s="16"/>
      <c r="D14" s="10"/>
      <c r="E14" s="10"/>
    </row>
    <row r="15" ht="13.55" customHeight="1">
      <c r="A15" t="str" s="22" cm="1">
        <f t="array" ref="A15">IF('PARAMETROS'!A138=$B$1,"",'PARAMETROS'!A138)</f>
      </c>
      <c r="B15" s="23">
        <v>0</v>
      </c>
      <c r="C15" s="16"/>
      <c r="D15" s="10"/>
      <c r="E15" s="10"/>
    </row>
    <row r="16" ht="21" customHeight="1">
      <c r="A16" t="s" s="24">
        <v>20</v>
      </c>
      <c r="B16" s="25" cm="1">
        <f t="array" ref="B16">'PARAMETROS'!$D$10-SUM(B4:B15)</f>
        <v>35</v>
      </c>
      <c r="C16" s="10"/>
      <c r="D16" s="10"/>
      <c r="E16" s="10"/>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E151"/>
  <sheetViews>
    <sheetView workbookViewId="0" showGridLines="0" defaultGridColor="1"/>
  </sheetViews>
  <sheetFormatPr defaultColWidth="10.6667" defaultRowHeight="15" customHeight="1" outlineLevelRow="0" outlineLevelCol="0"/>
  <cols>
    <col min="1" max="1" width="36.1719" style="36" customWidth="1"/>
    <col min="2" max="2" width="39" style="36" customWidth="1"/>
    <col min="3" max="3" width="11.5" style="36" customWidth="1"/>
    <col min="4" max="5" width="10.6719" style="36" customWidth="1"/>
    <col min="6" max="16384" width="10.6719" style="36" customWidth="1"/>
  </cols>
  <sheetData>
    <row r="1" ht="33.75" customHeight="1">
      <c r="A1" t="s" s="37">
        <v>84</v>
      </c>
      <c r="B1" t="s" s="37">
        <v>85</v>
      </c>
      <c r="C1" t="s" s="38">
        <v>86</v>
      </c>
      <c r="D1" t="s" s="39">
        <v>8</v>
      </c>
      <c r="E1" s="10"/>
    </row>
    <row r="2" ht="13.55" customHeight="1">
      <c r="A2" t="s" s="39">
        <v>11</v>
      </c>
      <c r="B2" t="str" s="10" cm="1">
        <f t="array" ref="B2">IF(COUNTIF('GRUPOS'!B1:B12,A2)&gt;0,"",A2)</f>
        <v>Al-Khwarizmi</v>
      </c>
      <c r="C2" s="40">
        <v>5</v>
      </c>
      <c r="D2" s="41" cm="1">
        <f t="array" ref="D2">C2*10/2</f>
        <v>25</v>
      </c>
      <c r="E2" s="10"/>
    </row>
    <row r="3" ht="13.55" customHeight="1">
      <c r="A3" t="s" s="39">
        <v>21</v>
      </c>
      <c r="B3" t="str" s="10" cm="1">
        <f t="array" ref="B3">IF(COUNTIF('GRUPOS'!B1:B12,A3)&gt;0,"",A3)</f>
        <v>Arquimedes</v>
      </c>
      <c r="C3" s="40">
        <v>7</v>
      </c>
      <c r="D3" s="41" cm="1">
        <f t="array" ref="D3">C3*10/2</f>
        <v>35</v>
      </c>
      <c r="E3" s="10"/>
    </row>
    <row r="4" ht="13.55" customHeight="1">
      <c r="A4" t="s" s="39">
        <v>29</v>
      </c>
      <c r="B4" t="str" s="10" cm="1">
        <f t="array" ref="B4">IF(COUNTIF('GRUPOS'!B1:B12,A4)&gt;0,"",A4)</f>
        <v>Descartes</v>
      </c>
      <c r="C4" s="40">
        <v>7</v>
      </c>
      <c r="D4" s="41" cm="1">
        <f t="array" ref="D4">C4*10/2</f>
        <v>35</v>
      </c>
      <c r="E4" s="10"/>
    </row>
    <row r="5" ht="13.55" customHeight="1">
      <c r="A5" t="s" s="39">
        <v>37</v>
      </c>
      <c r="B5" t="str" s="10" cm="1">
        <f t="array" ref="B5">IF(COUNTIF('GRUPOS'!B1:B12,A5)&gt;0,"",A5)</f>
        <v>Euclides</v>
      </c>
      <c r="C5" s="40">
        <v>7</v>
      </c>
      <c r="D5" s="41" cm="1">
        <f t="array" ref="D5">C5*10/2</f>
        <v>35</v>
      </c>
      <c r="E5" s="10"/>
    </row>
    <row r="6" ht="13.55" customHeight="1">
      <c r="A6" t="s" s="39">
        <v>44</v>
      </c>
      <c r="B6" t="str" s="10" cm="1">
        <f t="array" ref="B6">IF(COUNTIF('GRUPOS'!B1:B12,A6)&gt;0,"",A6)</f>
        <v>Euler</v>
      </c>
      <c r="C6" s="40">
        <v>6</v>
      </c>
      <c r="D6" s="41" cm="1">
        <f t="array" ref="D6">C6*10/2</f>
        <v>30</v>
      </c>
      <c r="E6" s="10"/>
    </row>
    <row r="7" ht="13.55" customHeight="1">
      <c r="A7" t="s" s="39">
        <v>51</v>
      </c>
      <c r="B7" t="str" s="10" cm="1">
        <f t="array" ref="B7">IF(COUNTIF('GRUPOS'!B1:B12,A7)&gt;0,"",A7)</f>
        <v>Gauss</v>
      </c>
      <c r="C7" s="40">
        <v>7</v>
      </c>
      <c r="D7" s="41" cm="1">
        <f t="array" ref="D7">C7*10/2</f>
        <v>35</v>
      </c>
      <c r="E7" s="10"/>
    </row>
    <row r="8" ht="13.55" customHeight="1">
      <c r="A8" t="s" s="39">
        <v>59</v>
      </c>
      <c r="B8" t="str" s="10" cm="1">
        <f t="array" ref="B8">IF(COUNTIF('GRUPOS'!B1:B12,A8)&gt;0,"",A8)</f>
        <v>Leibniz</v>
      </c>
      <c r="C8" s="40">
        <v>6</v>
      </c>
      <c r="D8" s="41" cm="1">
        <f t="array" ref="D8">C8*10/2</f>
        <v>30</v>
      </c>
      <c r="E8" s="10"/>
    </row>
    <row r="9" ht="13.55" customHeight="1">
      <c r="A9" t="s" s="39">
        <v>67</v>
      </c>
      <c r="B9" t="str" s="10" cm="1">
        <f t="array" ref="B9">IF(COUNTIF('GRUPOS'!B1:B12,A9)&gt;0,"",A9)</f>
        <v>Pitagoras</v>
      </c>
      <c r="C9" s="40">
        <v>7</v>
      </c>
      <c r="D9" s="41" cm="1">
        <f t="array" ref="D9">C9*10/2</f>
        <v>35</v>
      </c>
      <c r="E9" s="10"/>
    </row>
    <row r="10" ht="13.55" customHeight="1">
      <c r="A10" t="s" s="39">
        <v>75</v>
      </c>
      <c r="B10" t="str" s="10" cm="1">
        <f t="array" ref="B10">IF(COUNTIF('GRUPOS'!B1:B12,A10)&gt;0,"",A10)</f>
        <v>Llull</v>
      </c>
      <c r="C10" s="40">
        <v>7</v>
      </c>
      <c r="D10" s="41" cm="1">
        <f t="array" ref="D10">C10*10/2</f>
        <v>35</v>
      </c>
      <c r="E10" s="10"/>
    </row>
    <row r="11" ht="13.55" customHeight="1">
      <c r="A11" s="10"/>
      <c r="B11" s="10"/>
      <c r="C11" s="42"/>
      <c r="D11" s="43"/>
      <c r="E11" s="10"/>
    </row>
    <row r="12" ht="13.55" customHeight="1">
      <c r="A12" s="10"/>
      <c r="B12" s="10"/>
      <c r="C12" s="42"/>
      <c r="D12" s="10"/>
      <c r="E12" s="10"/>
    </row>
    <row r="13" ht="13.55" customHeight="1">
      <c r="A13" s="10"/>
      <c r="B13" s="10"/>
      <c r="C13" s="42"/>
      <c r="D13" s="10"/>
      <c r="E13" s="10"/>
    </row>
    <row r="14" ht="33.75" customHeight="1">
      <c r="A14" t="s" s="37">
        <v>11</v>
      </c>
      <c r="B14" s="10"/>
      <c r="C14" s="42"/>
      <c r="D14" s="10"/>
      <c r="E14" s="10"/>
    </row>
    <row r="15" ht="13.55" customHeight="1">
      <c r="A15" t="s" s="39">
        <v>15</v>
      </c>
      <c r="B15" s="10"/>
      <c r="C15" s="42"/>
      <c r="D15" s="10"/>
      <c r="E15" s="10"/>
    </row>
    <row r="16" ht="13.55" customHeight="1">
      <c r="A16" t="s" s="44">
        <v>16</v>
      </c>
      <c r="B16" s="10"/>
      <c r="C16" s="42"/>
      <c r="D16" s="10"/>
      <c r="E16" s="10"/>
    </row>
    <row r="17" ht="13.55" customHeight="1">
      <c r="A17" t="s" s="44">
        <v>17</v>
      </c>
      <c r="B17" s="10"/>
      <c r="C17" s="42"/>
      <c r="D17" s="10"/>
      <c r="E17" s="10"/>
    </row>
    <row r="18" ht="13.55" customHeight="1">
      <c r="A18" t="s" s="44">
        <v>18</v>
      </c>
      <c r="B18" s="10"/>
      <c r="C18" s="42"/>
      <c r="D18" s="10"/>
      <c r="E18" s="10"/>
    </row>
    <row r="19" ht="13.55" customHeight="1">
      <c r="A19" t="s" s="44">
        <v>19</v>
      </c>
      <c r="B19" s="10"/>
      <c r="C19" s="42"/>
      <c r="D19" s="10"/>
      <c r="E19" s="10"/>
    </row>
    <row r="20" ht="13.55" customHeight="1">
      <c r="A20" s="45"/>
      <c r="B20" s="10"/>
      <c r="C20" s="42"/>
      <c r="D20" s="10"/>
      <c r="E20" s="10"/>
    </row>
    <row r="21" ht="13.55" customHeight="1">
      <c r="A21" s="45"/>
      <c r="B21" s="10"/>
      <c r="C21" s="42"/>
      <c r="D21" s="10"/>
      <c r="E21" s="10"/>
    </row>
    <row r="22" ht="13.55" customHeight="1">
      <c r="A22" s="45"/>
      <c r="B22" s="10"/>
      <c r="C22" s="42"/>
      <c r="D22" s="10"/>
      <c r="E22" s="10"/>
    </row>
    <row r="23" ht="13.55" customHeight="1">
      <c r="A23" s="45"/>
      <c r="B23" s="10"/>
      <c r="C23" s="42"/>
      <c r="D23" s="10"/>
      <c r="E23" s="10"/>
    </row>
    <row r="24" ht="13.55" customHeight="1">
      <c r="A24" s="45"/>
      <c r="B24" s="10"/>
      <c r="C24" s="42"/>
      <c r="D24" s="10"/>
      <c r="E24" s="10"/>
    </row>
    <row r="25" ht="13.55" customHeight="1">
      <c r="A25" s="45"/>
      <c r="B25" s="10"/>
      <c r="C25" s="42"/>
      <c r="D25" s="10"/>
      <c r="E25" s="10"/>
    </row>
    <row r="26" ht="13.55" customHeight="1">
      <c r="A26" s="45"/>
      <c r="B26" s="10"/>
      <c r="C26" s="42"/>
      <c r="D26" s="10"/>
      <c r="E26" s="10"/>
    </row>
    <row r="27" ht="13.55" customHeight="1">
      <c r="A27" s="10"/>
      <c r="B27" s="10"/>
      <c r="C27" s="42"/>
      <c r="D27" s="10"/>
      <c r="E27" s="10"/>
    </row>
    <row r="28" ht="33.75" customHeight="1">
      <c r="A28" t="s" s="37">
        <v>21</v>
      </c>
      <c r="B28" s="10"/>
      <c r="C28" s="42"/>
      <c r="D28" s="10"/>
      <c r="E28" s="10"/>
    </row>
    <row r="29" ht="13.55" customHeight="1">
      <c r="A29" t="s" s="44">
        <v>22</v>
      </c>
      <c r="B29" s="10"/>
      <c r="C29" s="42"/>
      <c r="D29" s="10"/>
      <c r="E29" s="10"/>
    </row>
    <row r="30" ht="13.55" customHeight="1">
      <c r="A30" t="s" s="44">
        <v>23</v>
      </c>
      <c r="B30" s="10"/>
      <c r="C30" s="42"/>
      <c r="D30" s="10"/>
      <c r="E30" s="10"/>
    </row>
    <row r="31" ht="13.55" customHeight="1">
      <c r="A31" t="s" s="44">
        <v>24</v>
      </c>
      <c r="B31" s="10"/>
      <c r="C31" s="42"/>
      <c r="D31" s="10"/>
      <c r="E31" s="10"/>
    </row>
    <row r="32" ht="13.55" customHeight="1">
      <c r="A32" t="s" s="44">
        <v>25</v>
      </c>
      <c r="B32" s="10"/>
      <c r="C32" s="42"/>
      <c r="D32" s="10"/>
      <c r="E32" s="10"/>
    </row>
    <row r="33" ht="13.55" customHeight="1">
      <c r="A33" t="s" s="44">
        <v>26</v>
      </c>
      <c r="B33" s="10"/>
      <c r="C33" s="42"/>
      <c r="D33" s="10"/>
      <c r="E33" s="10"/>
    </row>
    <row r="34" ht="13.55" customHeight="1">
      <c r="A34" t="s" s="44">
        <v>27</v>
      </c>
      <c r="B34" s="10"/>
      <c r="C34" s="42"/>
      <c r="D34" s="10"/>
      <c r="E34" s="10"/>
    </row>
    <row r="35" ht="13.55" customHeight="1">
      <c r="A35" t="s" s="44">
        <v>28</v>
      </c>
      <c r="B35" s="10"/>
      <c r="C35" s="42"/>
      <c r="D35" s="10"/>
      <c r="E35" s="10"/>
    </row>
    <row r="36" ht="13.55" customHeight="1">
      <c r="A36" s="45"/>
      <c r="B36" s="10"/>
      <c r="C36" s="42"/>
      <c r="D36" s="10"/>
      <c r="E36" s="10"/>
    </row>
    <row r="37" ht="13.55" customHeight="1">
      <c r="A37" s="45"/>
      <c r="B37" s="10"/>
      <c r="C37" s="42"/>
      <c r="D37" s="10"/>
      <c r="E37" s="10"/>
    </row>
    <row r="38" ht="13.55" customHeight="1">
      <c r="A38" s="45"/>
      <c r="B38" s="10"/>
      <c r="C38" s="42"/>
      <c r="D38" s="10"/>
      <c r="E38" s="10"/>
    </row>
    <row r="39" ht="13.55" customHeight="1">
      <c r="A39" s="45"/>
      <c r="B39" s="10"/>
      <c r="C39" s="42"/>
      <c r="D39" s="10"/>
      <c r="E39" s="10"/>
    </row>
    <row r="40" ht="13.55" customHeight="1">
      <c r="A40" s="10"/>
      <c r="B40" s="10"/>
      <c r="C40" s="42"/>
      <c r="D40" s="10"/>
      <c r="E40" s="10"/>
    </row>
    <row r="41" ht="13.55" customHeight="1">
      <c r="A41" s="10"/>
      <c r="B41" s="10"/>
      <c r="C41" s="42"/>
      <c r="D41" s="10"/>
      <c r="E41" s="10"/>
    </row>
    <row r="42" ht="33.75" customHeight="1">
      <c r="A42" t="s" s="37">
        <v>29</v>
      </c>
      <c r="B42" s="10"/>
      <c r="C42" s="42"/>
      <c r="D42" s="10"/>
      <c r="E42" s="10"/>
    </row>
    <row r="43" ht="13.55" customHeight="1">
      <c r="A43" t="s" s="44">
        <v>30</v>
      </c>
      <c r="B43" s="10"/>
      <c r="C43" s="42"/>
      <c r="D43" s="10"/>
      <c r="E43" s="10"/>
    </row>
    <row r="44" ht="13.55" customHeight="1">
      <c r="A44" t="s" s="44">
        <v>31</v>
      </c>
      <c r="B44" s="10"/>
      <c r="C44" s="42"/>
      <c r="D44" s="10"/>
      <c r="E44" s="10"/>
    </row>
    <row r="45" ht="13.55" customHeight="1">
      <c r="A45" t="s" s="44">
        <v>32</v>
      </c>
      <c r="B45" s="10"/>
      <c r="C45" s="42"/>
      <c r="D45" s="10"/>
      <c r="E45" s="10"/>
    </row>
    <row r="46" ht="13.55" customHeight="1">
      <c r="A46" t="s" s="44">
        <v>33</v>
      </c>
      <c r="B46" s="10"/>
      <c r="C46" s="42"/>
      <c r="D46" s="10"/>
      <c r="E46" s="10"/>
    </row>
    <row r="47" ht="13.55" customHeight="1">
      <c r="A47" t="s" s="44">
        <v>34</v>
      </c>
      <c r="B47" s="10"/>
      <c r="C47" s="42"/>
      <c r="D47" s="10"/>
      <c r="E47" s="10"/>
    </row>
    <row r="48" ht="13.55" customHeight="1">
      <c r="A48" t="s" s="44">
        <v>35</v>
      </c>
      <c r="B48" s="10"/>
      <c r="C48" s="42"/>
      <c r="D48" s="10"/>
      <c r="E48" s="10"/>
    </row>
    <row r="49" ht="13.55" customHeight="1">
      <c r="A49" t="s" s="44">
        <v>36</v>
      </c>
      <c r="B49" s="10"/>
      <c r="C49" s="42"/>
      <c r="D49" s="10"/>
      <c r="E49" s="10"/>
    </row>
    <row r="50" ht="13.55" customHeight="1">
      <c r="A50" s="45"/>
      <c r="B50" s="10"/>
      <c r="C50" s="42"/>
      <c r="D50" s="10"/>
      <c r="E50" s="10"/>
    </row>
    <row r="51" ht="13.55" customHeight="1">
      <c r="A51" s="45"/>
      <c r="B51" s="10"/>
      <c r="C51" s="42"/>
      <c r="D51" s="10"/>
      <c r="E51" s="10"/>
    </row>
    <row r="52" ht="13.55" customHeight="1">
      <c r="A52" s="45"/>
      <c r="B52" s="10"/>
      <c r="C52" s="42"/>
      <c r="D52" s="10"/>
      <c r="E52" s="10"/>
    </row>
    <row r="53" ht="13.55" customHeight="1">
      <c r="A53" s="45"/>
      <c r="B53" s="10"/>
      <c r="C53" s="42"/>
      <c r="D53" s="10"/>
      <c r="E53" s="10"/>
    </row>
    <row r="54" ht="13.55" customHeight="1">
      <c r="A54" s="10"/>
      <c r="B54" s="10"/>
      <c r="C54" s="42"/>
      <c r="D54" s="10"/>
      <c r="E54" s="10"/>
    </row>
    <row r="55" ht="13.55" customHeight="1">
      <c r="A55" s="10"/>
      <c r="B55" s="10"/>
      <c r="C55" s="42"/>
      <c r="D55" s="10"/>
      <c r="E55" s="10"/>
    </row>
    <row r="56" ht="33.75" customHeight="1">
      <c r="A56" t="s" s="37">
        <v>37</v>
      </c>
      <c r="B56" s="10"/>
      <c r="C56" s="42"/>
      <c r="D56" s="10"/>
      <c r="E56" s="10"/>
    </row>
    <row r="57" ht="13.55" customHeight="1">
      <c r="A57" t="s" s="44">
        <v>38</v>
      </c>
      <c r="B57" s="10"/>
      <c r="C57" s="42"/>
      <c r="D57" s="10"/>
      <c r="E57" s="10"/>
    </row>
    <row r="58" ht="13.55" customHeight="1">
      <c r="A58" t="s" s="44">
        <v>39</v>
      </c>
      <c r="B58" s="10"/>
      <c r="C58" s="42"/>
      <c r="D58" s="10"/>
      <c r="E58" s="10"/>
    </row>
    <row r="59" ht="13.55" customHeight="1">
      <c r="A59" t="s" s="44">
        <v>40</v>
      </c>
      <c r="B59" s="10"/>
      <c r="C59" s="42"/>
      <c r="D59" s="10"/>
      <c r="E59" s="10"/>
    </row>
    <row r="60" ht="13.55" customHeight="1">
      <c r="A60" t="s" s="44">
        <v>41</v>
      </c>
      <c r="B60" s="10"/>
      <c r="C60" s="42"/>
      <c r="D60" s="10"/>
      <c r="E60" s="10"/>
    </row>
    <row r="61" ht="13.55" customHeight="1">
      <c r="A61" t="s" s="44">
        <v>42</v>
      </c>
      <c r="B61" s="10"/>
      <c r="C61" s="42"/>
      <c r="D61" s="10"/>
      <c r="E61" s="10"/>
    </row>
    <row r="62" ht="13.55" customHeight="1">
      <c r="A62" t="s" s="44">
        <v>43</v>
      </c>
      <c r="B62" s="10"/>
      <c r="C62" s="42"/>
      <c r="D62" s="10"/>
      <c r="E62" s="10"/>
    </row>
    <row r="63" ht="13.55" customHeight="1">
      <c r="A63" s="45"/>
      <c r="B63" s="10"/>
      <c r="C63" s="42"/>
      <c r="D63" s="10"/>
      <c r="E63" s="10"/>
    </row>
    <row r="64" ht="13.55" customHeight="1">
      <c r="A64" s="45"/>
      <c r="B64" s="10"/>
      <c r="C64" s="42"/>
      <c r="D64" s="10"/>
      <c r="E64" s="10"/>
    </row>
    <row r="65" ht="13.55" customHeight="1">
      <c r="A65" s="10"/>
      <c r="B65" s="10"/>
      <c r="C65" s="42"/>
      <c r="D65" s="10"/>
      <c r="E65" s="10"/>
    </row>
    <row r="66" ht="13.55" customHeight="1">
      <c r="A66" s="10"/>
      <c r="B66" s="10"/>
      <c r="C66" s="42"/>
      <c r="D66" s="10"/>
      <c r="E66" s="10"/>
    </row>
    <row r="67" ht="13.55" customHeight="1">
      <c r="A67" s="10"/>
      <c r="B67" s="10"/>
      <c r="C67" s="42"/>
      <c r="D67" s="10"/>
      <c r="E67" s="10"/>
    </row>
    <row r="68" ht="13.55" customHeight="1">
      <c r="A68" s="10"/>
      <c r="B68" s="10"/>
      <c r="C68" s="42"/>
      <c r="D68" s="10"/>
      <c r="E68" s="10"/>
    </row>
    <row r="69" ht="13.55" customHeight="1">
      <c r="A69" s="10"/>
      <c r="B69" s="10"/>
      <c r="C69" s="42"/>
      <c r="D69" s="10"/>
      <c r="E69" s="10"/>
    </row>
    <row r="70" ht="33.75" customHeight="1">
      <c r="A70" t="s" s="37">
        <v>44</v>
      </c>
      <c r="B70" s="10"/>
      <c r="C70" s="42"/>
      <c r="D70" s="10"/>
      <c r="E70" s="10"/>
    </row>
    <row r="71" ht="13.55" customHeight="1">
      <c r="A71" t="s" s="44">
        <v>45</v>
      </c>
      <c r="B71" s="10"/>
      <c r="C71" s="42"/>
      <c r="D71" s="10"/>
      <c r="E71" s="10"/>
    </row>
    <row r="72" ht="13.55" customHeight="1">
      <c r="A72" t="s" s="44">
        <v>46</v>
      </c>
      <c r="B72" s="10"/>
      <c r="C72" s="42"/>
      <c r="D72" s="10"/>
      <c r="E72" s="10"/>
    </row>
    <row r="73" ht="13.55" customHeight="1">
      <c r="A73" t="s" s="44">
        <v>47</v>
      </c>
      <c r="B73" s="10"/>
      <c r="C73" s="42"/>
      <c r="D73" s="10"/>
      <c r="E73" s="10"/>
    </row>
    <row r="74" ht="13.55" customHeight="1">
      <c r="A74" t="s" s="44">
        <v>48</v>
      </c>
      <c r="B74" s="10"/>
      <c r="C74" s="42"/>
      <c r="D74" s="10"/>
      <c r="E74" s="10"/>
    </row>
    <row r="75" ht="13.55" customHeight="1">
      <c r="A75" t="s" s="44">
        <v>49</v>
      </c>
      <c r="B75" s="10"/>
      <c r="C75" s="42"/>
      <c r="D75" s="10"/>
      <c r="E75" s="10"/>
    </row>
    <row r="76" ht="13.55" customHeight="1">
      <c r="A76" t="s" s="44">
        <v>50</v>
      </c>
      <c r="B76" s="10"/>
      <c r="C76" s="42"/>
      <c r="D76" s="10"/>
      <c r="E76" s="10"/>
    </row>
    <row r="77" ht="13.55" customHeight="1">
      <c r="A77" s="45"/>
      <c r="B77" s="10"/>
      <c r="C77" s="42"/>
      <c r="D77" s="10"/>
      <c r="E77" s="10"/>
    </row>
    <row r="78" ht="13.55" customHeight="1">
      <c r="A78" s="45"/>
      <c r="B78" s="10"/>
      <c r="C78" s="42"/>
      <c r="D78" s="10"/>
      <c r="E78" s="10"/>
    </row>
    <row r="79" ht="13.55" customHeight="1">
      <c r="A79" s="45"/>
      <c r="B79" s="10"/>
      <c r="C79" s="42"/>
      <c r="D79" s="10"/>
      <c r="E79" s="10"/>
    </row>
    <row r="80" ht="13.55" customHeight="1">
      <c r="A80" s="45"/>
      <c r="B80" s="10"/>
      <c r="C80" s="42"/>
      <c r="D80" s="10"/>
      <c r="E80" s="10"/>
    </row>
    <row r="81" ht="13.55" customHeight="1">
      <c r="A81" s="45"/>
      <c r="B81" s="10"/>
      <c r="C81" s="42"/>
      <c r="D81" s="10"/>
      <c r="E81" s="10"/>
    </row>
    <row r="82" ht="13.55" customHeight="1">
      <c r="A82" s="10"/>
      <c r="B82" s="10"/>
      <c r="C82" s="42"/>
      <c r="D82" s="10"/>
      <c r="E82" s="10"/>
    </row>
    <row r="83" ht="13.55" customHeight="1">
      <c r="A83" s="10"/>
      <c r="B83" s="10"/>
      <c r="C83" s="42"/>
      <c r="D83" s="10"/>
      <c r="E83" s="10"/>
    </row>
    <row r="84" ht="33.75" customHeight="1">
      <c r="A84" t="s" s="37">
        <v>51</v>
      </c>
      <c r="B84" s="10"/>
      <c r="C84" s="42"/>
      <c r="D84" s="10"/>
      <c r="E84" s="10"/>
    </row>
    <row r="85" ht="13.55" customHeight="1">
      <c r="A85" t="s" s="44">
        <v>53</v>
      </c>
      <c r="B85" s="10"/>
      <c r="C85" s="42"/>
      <c r="D85" s="10"/>
      <c r="E85" s="10"/>
    </row>
    <row r="86" ht="13.55" customHeight="1">
      <c r="A86" t="s" s="44">
        <v>54</v>
      </c>
      <c r="B86" s="10"/>
      <c r="C86" s="42"/>
      <c r="D86" s="10"/>
      <c r="E86" s="10"/>
    </row>
    <row r="87" ht="13.55" customHeight="1">
      <c r="A87" t="s" s="44">
        <v>55</v>
      </c>
      <c r="B87" s="10"/>
      <c r="C87" s="42"/>
      <c r="D87" s="10"/>
      <c r="E87" s="10"/>
    </row>
    <row r="88" ht="13.55" customHeight="1">
      <c r="A88" t="s" s="44">
        <v>52</v>
      </c>
      <c r="B88" s="10"/>
      <c r="C88" s="42"/>
      <c r="D88" s="10"/>
      <c r="E88" s="10"/>
    </row>
    <row r="89" ht="13.55" customHeight="1">
      <c r="A89" t="s" s="44">
        <v>56</v>
      </c>
      <c r="B89" s="10"/>
      <c r="C89" s="42"/>
      <c r="D89" s="10"/>
      <c r="E89" s="10"/>
    </row>
    <row r="90" ht="13.55" customHeight="1">
      <c r="A90" t="s" s="44">
        <v>57</v>
      </c>
      <c r="B90" s="10"/>
      <c r="C90" s="42"/>
      <c r="D90" s="10"/>
      <c r="E90" s="10"/>
    </row>
    <row r="91" ht="13.55" customHeight="1">
      <c r="A91" t="s" s="44">
        <v>58</v>
      </c>
      <c r="B91" s="10"/>
      <c r="C91" s="42"/>
      <c r="D91" s="10"/>
      <c r="E91" s="10"/>
    </row>
    <row r="92" ht="13.55" customHeight="1">
      <c r="A92" s="45"/>
      <c r="B92" s="10"/>
      <c r="C92" s="42"/>
      <c r="D92" s="10"/>
      <c r="E92" s="10"/>
    </row>
    <row r="93" ht="13.55" customHeight="1">
      <c r="A93" s="45"/>
      <c r="B93" s="10"/>
      <c r="C93" s="42"/>
      <c r="D93" s="10"/>
      <c r="E93" s="10"/>
    </row>
    <row r="94" ht="13.55" customHeight="1">
      <c r="A94" s="45"/>
      <c r="B94" s="10"/>
      <c r="C94" s="42"/>
      <c r="D94" s="10"/>
      <c r="E94" s="10"/>
    </row>
    <row r="95" ht="13.55" customHeight="1">
      <c r="A95" s="45"/>
      <c r="B95" s="10"/>
      <c r="C95" s="42"/>
      <c r="D95" s="10"/>
      <c r="E95" s="10"/>
    </row>
    <row r="96" ht="13.55" customHeight="1">
      <c r="A96" s="45"/>
      <c r="B96" s="10"/>
      <c r="C96" s="42"/>
      <c r="D96" s="10"/>
      <c r="E96" s="10"/>
    </row>
    <row r="97" ht="13.55" customHeight="1">
      <c r="A97" s="10"/>
      <c r="B97" s="10"/>
      <c r="C97" s="42"/>
      <c r="D97" s="10"/>
      <c r="E97" s="10"/>
    </row>
    <row r="98" ht="33.75" customHeight="1">
      <c r="A98" t="s" s="37">
        <v>59</v>
      </c>
      <c r="B98" s="10"/>
      <c r="C98" s="42"/>
      <c r="D98" s="10"/>
      <c r="E98" s="10"/>
    </row>
    <row r="99" ht="13.55" customHeight="1">
      <c r="A99" t="s" s="44">
        <v>60</v>
      </c>
      <c r="B99" s="10"/>
      <c r="C99" s="42"/>
      <c r="D99" s="10"/>
      <c r="E99" s="10"/>
    </row>
    <row r="100" ht="13.55" customHeight="1">
      <c r="A100" t="s" s="44">
        <v>61</v>
      </c>
      <c r="B100" s="10"/>
      <c r="C100" s="42"/>
      <c r="D100" s="10"/>
      <c r="E100" s="10"/>
    </row>
    <row r="101" ht="13.55" customHeight="1">
      <c r="A101" t="s" s="44">
        <v>62</v>
      </c>
      <c r="B101" s="10"/>
      <c r="C101" s="42"/>
      <c r="D101" s="10"/>
      <c r="E101" s="10"/>
    </row>
    <row r="102" ht="13.55" customHeight="1">
      <c r="A102" t="s" s="44">
        <v>63</v>
      </c>
      <c r="B102" s="10"/>
      <c r="C102" s="42"/>
      <c r="D102" s="10"/>
      <c r="E102" s="10"/>
    </row>
    <row r="103" ht="13.55" customHeight="1">
      <c r="A103" t="s" s="44">
        <v>64</v>
      </c>
      <c r="B103" s="10"/>
      <c r="C103" s="42"/>
      <c r="D103" s="10"/>
      <c r="E103" s="10"/>
    </row>
    <row r="104" ht="13.55" customHeight="1">
      <c r="A104" t="s" s="44">
        <v>65</v>
      </c>
      <c r="B104" s="10"/>
      <c r="C104" s="42"/>
      <c r="D104" s="10"/>
      <c r="E104" s="10"/>
    </row>
    <row r="105" ht="13.55" customHeight="1">
      <c r="A105" t="s" s="44">
        <v>66</v>
      </c>
      <c r="B105" s="10"/>
      <c r="C105" s="42"/>
      <c r="D105" s="10"/>
      <c r="E105" s="10"/>
    </row>
    <row r="106" ht="13.55" customHeight="1">
      <c r="A106" s="45"/>
      <c r="B106" s="10"/>
      <c r="C106" s="42"/>
      <c r="D106" s="10"/>
      <c r="E106" s="10"/>
    </row>
    <row r="107" ht="13.55" customHeight="1">
      <c r="A107" s="45"/>
      <c r="B107" s="10"/>
      <c r="C107" s="42"/>
      <c r="D107" s="10"/>
      <c r="E107" s="10"/>
    </row>
    <row r="108" ht="13.55" customHeight="1">
      <c r="A108" s="45"/>
      <c r="B108" s="10"/>
      <c r="C108" s="42"/>
      <c r="D108" s="10"/>
      <c r="E108" s="10"/>
    </row>
    <row r="109" ht="13.55" customHeight="1">
      <c r="A109" s="45"/>
      <c r="B109" s="10"/>
      <c r="C109" s="42"/>
      <c r="D109" s="10"/>
      <c r="E109" s="10"/>
    </row>
    <row r="110" ht="13.55" customHeight="1">
      <c r="A110" s="10"/>
      <c r="B110" s="10"/>
      <c r="C110" s="42"/>
      <c r="D110" s="10"/>
      <c r="E110" s="10"/>
    </row>
    <row r="111" ht="13.55" customHeight="1">
      <c r="A111" s="10"/>
      <c r="B111" s="10"/>
      <c r="C111" s="42"/>
      <c r="D111" s="10"/>
      <c r="E111" s="10"/>
    </row>
    <row r="112" ht="33.75" customHeight="1">
      <c r="A112" t="s" s="37">
        <v>67</v>
      </c>
      <c r="B112" s="10"/>
      <c r="C112" s="42"/>
      <c r="D112" s="10"/>
      <c r="E112" s="10"/>
    </row>
    <row r="113" ht="13.55" customHeight="1">
      <c r="A113" t="s" s="44">
        <v>68</v>
      </c>
      <c r="B113" s="10"/>
      <c r="C113" s="42"/>
      <c r="D113" s="10"/>
      <c r="E113" s="10"/>
    </row>
    <row r="114" ht="13.55" customHeight="1">
      <c r="A114" t="s" s="44">
        <v>69</v>
      </c>
      <c r="B114" s="10"/>
      <c r="C114" s="42"/>
      <c r="D114" s="10"/>
      <c r="E114" s="10"/>
    </row>
    <row r="115" ht="13.55" customHeight="1">
      <c r="A115" t="s" s="44">
        <v>70</v>
      </c>
      <c r="B115" s="10"/>
      <c r="C115" s="42"/>
      <c r="D115" s="10"/>
      <c r="E115" s="10"/>
    </row>
    <row r="116" ht="13.55" customHeight="1">
      <c r="A116" t="s" s="44">
        <v>71</v>
      </c>
      <c r="B116" s="10"/>
      <c r="C116" s="42"/>
      <c r="D116" s="10"/>
      <c r="E116" s="10"/>
    </row>
    <row r="117" ht="13.55" customHeight="1">
      <c r="A117" t="s" s="44">
        <v>72</v>
      </c>
      <c r="B117" s="10"/>
      <c r="C117" s="42"/>
      <c r="D117" s="10"/>
      <c r="E117" s="10"/>
    </row>
    <row r="118" ht="13.55" customHeight="1">
      <c r="A118" t="s" s="44">
        <v>73</v>
      </c>
      <c r="B118" s="10"/>
      <c r="C118" s="42"/>
      <c r="D118" s="10"/>
      <c r="E118" s="10"/>
    </row>
    <row r="119" ht="13.55" customHeight="1">
      <c r="A119" t="s" s="44">
        <v>74</v>
      </c>
      <c r="B119" s="10"/>
      <c r="C119" s="42"/>
      <c r="D119" s="10"/>
      <c r="E119" s="10"/>
    </row>
    <row r="120" ht="13.55" customHeight="1">
      <c r="A120" s="45"/>
      <c r="B120" s="10"/>
      <c r="C120" s="42"/>
      <c r="D120" s="10"/>
      <c r="E120" s="10"/>
    </row>
    <row r="121" ht="13.55" customHeight="1">
      <c r="A121" s="45"/>
      <c r="B121" s="10"/>
      <c r="C121" s="42"/>
      <c r="D121" s="10"/>
      <c r="E121" s="10"/>
    </row>
    <row r="122" ht="13.55" customHeight="1">
      <c r="A122" s="45"/>
      <c r="B122" s="10"/>
      <c r="C122" s="42"/>
      <c r="D122" s="10"/>
      <c r="E122" s="10"/>
    </row>
    <row r="123" ht="13.55" customHeight="1">
      <c r="A123" s="45"/>
      <c r="B123" s="10"/>
      <c r="C123" s="42"/>
      <c r="D123" s="10"/>
      <c r="E123" s="10"/>
    </row>
    <row r="124" ht="13.55" customHeight="1">
      <c r="A124" s="10"/>
      <c r="B124" s="10"/>
      <c r="C124" s="42"/>
      <c r="D124" s="10"/>
      <c r="E124" s="10"/>
    </row>
    <row r="125" ht="13.55" customHeight="1">
      <c r="A125" s="10"/>
      <c r="B125" s="10"/>
      <c r="C125" s="42"/>
      <c r="D125" s="10"/>
      <c r="E125" s="10"/>
    </row>
    <row r="126" ht="33.75" customHeight="1">
      <c r="A126" t="s" s="37">
        <v>75</v>
      </c>
      <c r="B126" s="10"/>
      <c r="C126" s="42"/>
      <c r="D126" s="10"/>
      <c r="E126" s="10"/>
    </row>
    <row r="127" ht="13.55" customHeight="1">
      <c r="A127" t="s" s="44">
        <v>76</v>
      </c>
      <c r="B127" s="10"/>
      <c r="C127" s="42"/>
      <c r="D127" s="10"/>
      <c r="E127" s="10"/>
    </row>
    <row r="128" ht="13.55" customHeight="1">
      <c r="A128" t="s" s="44">
        <v>77</v>
      </c>
      <c r="B128" s="10"/>
      <c r="C128" s="42"/>
      <c r="D128" s="10"/>
      <c r="E128" s="10"/>
    </row>
    <row r="129" ht="13.55" customHeight="1">
      <c r="A129" t="s" s="44">
        <v>78</v>
      </c>
      <c r="B129" s="10"/>
      <c r="C129" s="42"/>
      <c r="D129" s="10"/>
      <c r="E129" s="10"/>
    </row>
    <row r="130" ht="13.55" customHeight="1">
      <c r="A130" t="s" s="44">
        <v>79</v>
      </c>
      <c r="B130" s="10"/>
      <c r="C130" s="42"/>
      <c r="D130" s="10"/>
      <c r="E130" s="10"/>
    </row>
    <row r="131" ht="13.55" customHeight="1">
      <c r="A131" t="s" s="44">
        <v>80</v>
      </c>
      <c r="B131" s="10"/>
      <c r="C131" s="42"/>
      <c r="D131" s="10"/>
      <c r="E131" s="10"/>
    </row>
    <row r="132" ht="13.55" customHeight="1">
      <c r="A132" t="s" s="44">
        <v>81</v>
      </c>
      <c r="B132" s="10"/>
      <c r="C132" s="42"/>
      <c r="D132" s="10"/>
      <c r="E132" s="10"/>
    </row>
    <row r="133" ht="13.55" customHeight="1">
      <c r="A133" t="s" s="44">
        <v>82</v>
      </c>
      <c r="B133" s="10"/>
      <c r="C133" s="42"/>
      <c r="D133" s="10"/>
      <c r="E133" s="10"/>
    </row>
    <row r="134" ht="13.55" customHeight="1">
      <c r="A134" s="45"/>
      <c r="B134" s="10"/>
      <c r="C134" s="42"/>
      <c r="D134" s="10"/>
      <c r="E134" s="10"/>
    </row>
    <row r="135" ht="13.55" customHeight="1">
      <c r="A135" s="45"/>
      <c r="B135" s="10"/>
      <c r="C135" s="42"/>
      <c r="D135" s="10"/>
      <c r="E135" s="10"/>
    </row>
    <row r="136" ht="13.55" customHeight="1">
      <c r="A136" s="45"/>
      <c r="B136" s="10"/>
      <c r="C136" s="42"/>
      <c r="D136" s="10"/>
      <c r="E136" s="10"/>
    </row>
    <row r="137" ht="13.55" customHeight="1">
      <c r="A137" s="45"/>
      <c r="B137" s="10"/>
      <c r="C137" s="42"/>
      <c r="D137" s="10"/>
      <c r="E137" s="10"/>
    </row>
    <row r="138" ht="13.55" customHeight="1">
      <c r="A138" s="10"/>
      <c r="B138" s="10"/>
      <c r="C138" s="42"/>
      <c r="D138" s="10"/>
      <c r="E138" s="10"/>
    </row>
    <row r="139" ht="13.55" customHeight="1">
      <c r="A139" s="10"/>
      <c r="B139" s="10"/>
      <c r="C139" s="42"/>
      <c r="D139" s="10"/>
      <c r="E139" s="10"/>
    </row>
    <row r="140" ht="33.75" customHeight="1">
      <c r="A140" s="46"/>
      <c r="B140" s="10"/>
      <c r="C140" s="42"/>
      <c r="D140" s="10"/>
      <c r="E140" s="10"/>
    </row>
    <row r="141" ht="13.55" customHeight="1">
      <c r="A141" s="45"/>
      <c r="B141" s="10"/>
      <c r="C141" s="42"/>
      <c r="D141" s="10"/>
      <c r="E141" s="10"/>
    </row>
    <row r="142" ht="13.55" customHeight="1">
      <c r="A142" s="45"/>
      <c r="B142" s="10"/>
      <c r="C142" s="42"/>
      <c r="D142" s="10"/>
      <c r="E142" s="10"/>
    </row>
    <row r="143" ht="13.55" customHeight="1">
      <c r="A143" s="45"/>
      <c r="B143" s="10"/>
      <c r="C143" s="42"/>
      <c r="D143" s="10"/>
      <c r="E143" s="10"/>
    </row>
    <row r="144" ht="13.55" customHeight="1">
      <c r="A144" s="45"/>
      <c r="B144" s="10"/>
      <c r="C144" s="42"/>
      <c r="D144" s="10"/>
      <c r="E144" s="10"/>
    </row>
    <row r="145" ht="13.55" customHeight="1">
      <c r="A145" s="45"/>
      <c r="B145" s="10"/>
      <c r="C145" s="42"/>
      <c r="D145" s="10"/>
      <c r="E145" s="10"/>
    </row>
    <row r="146" ht="13.55" customHeight="1">
      <c r="A146" s="45"/>
      <c r="B146" s="10"/>
      <c r="C146" s="42"/>
      <c r="D146" s="10"/>
      <c r="E146" s="10"/>
    </row>
    <row r="147" ht="13.55" customHeight="1">
      <c r="A147" s="45"/>
      <c r="B147" s="10"/>
      <c r="C147" s="42"/>
      <c r="D147" s="10"/>
      <c r="E147" s="10"/>
    </row>
    <row r="148" ht="13.55" customHeight="1">
      <c r="A148" s="45"/>
      <c r="B148" s="10"/>
      <c r="C148" s="42"/>
      <c r="D148" s="10"/>
      <c r="E148" s="10"/>
    </row>
    <row r="149" ht="13.55" customHeight="1">
      <c r="A149" s="45"/>
      <c r="B149" s="10"/>
      <c r="C149" s="42"/>
      <c r="D149" s="10"/>
      <c r="E149" s="10"/>
    </row>
    <row r="150" ht="13.55" customHeight="1">
      <c r="A150" s="45"/>
      <c r="B150" s="10"/>
      <c r="C150" s="42"/>
      <c r="D150" s="10"/>
      <c r="E150" s="10"/>
    </row>
    <row r="151" ht="13.55" customHeight="1">
      <c r="A151" s="45"/>
      <c r="B151" s="10"/>
      <c r="C151" s="42"/>
      <c r="D151" s="10"/>
      <c r="E151" s="10"/>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